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890" windowHeight="7620" firstSheet="1" activeTab="6"/>
  </bookViews>
  <sheets>
    <sheet name="0_README" sheetId="1" r:id="rId1"/>
    <sheet name="1_Cost_Job" sheetId="2" r:id="rId2"/>
    <sheet name="2_Pricing" sheetId="3" r:id="rId3"/>
    <sheet name="3_Value_Metric" sheetId="4" r:id="rId4"/>
    <sheet name="4_Channel_Fit" sheetId="5" r:id="rId5"/>
    <sheet name="5_90Day_Plan" sheetId="6" r:id="rId6"/>
    <sheet name="6_Benchmar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s>
  <commentList>
    <comment ref="B5" authorId="0">
      <text>
        <r>
          <rPr>
            <sz val="10"/>
            <rFont val="SimSun"/>
            <charset val="134"/>
          </rPr>
          <t>======
ID#AAACIQEOV6c
Unknown Author    (2026-10-08 02:20:56)
Ví dụ mẫu đang điền sẵn — thay bằng sản phẩm của bạn.</t>
        </r>
      </text>
    </comment>
  </commentList>
</comments>
</file>

<file path=xl/sharedStrings.xml><?xml version="1.0" encoding="utf-8"?>
<sst xmlns="http://schemas.openxmlformats.org/spreadsheetml/2006/main" count="556" uniqueCount="472">
  <si>
    <t>DAY 28 — MONETIZATION MODEL</t>
  </si>
  <si>
    <t>AI Pricing · GTM · Evidence — AI-IN-ACTION Track 1</t>
  </si>
  <si>
    <t>QUY ƯỚC MÀU — CHỈ ĐIỀN VÀO Ô MÀU VÀNG</t>
  </si>
  <si>
    <t>Ô VÀNG, chữ xanh dương</t>
  </si>
  <si>
    <t>Ô bạn phải điền</t>
  </si>
  <si>
    <t>Ô XÁM, chữ đen</t>
  </si>
  <si>
    <t>Công thức tự tính — KHÔNG SỬA</t>
  </si>
  <si>
    <t>Chữ xanh lá</t>
  </si>
  <si>
    <t>Link sang tab khác</t>
  </si>
  <si>
    <t>Ô XÁM đậm nhạt</t>
  </si>
  <si>
    <t>Bảng tham chiếu, chỉ đọc</t>
  </si>
  <si>
    <t>THỨ TỰ LÀM — 6 TRẠM, 120 PHÚT</t>
  </si>
  <si>
    <t>Trạm 1 · 15'</t>
  </si>
  <si>
    <t>Ngân sách khách &amp; định nghĩa Job → điền S1–S2 của tab 1_Cost_Job</t>
  </si>
  <si>
    <t>Trạm 2 · 20'</t>
  </si>
  <si>
    <t>Value Metric → tab 3_Value_Metric</t>
  </si>
  <si>
    <t>Trạm 3 · 30'</t>
  </si>
  <si>
    <t>Cost/Job, giá sàn &amp; giá trần → tab 1_Cost_Job (S3–S8) rồi 2_Pricing</t>
  </si>
  <si>
    <t>Trạm 4 · 20'</t>
  </si>
  <si>
    <t>Kênh phân phối &amp; Affordability Test → tab 4_Channel_Fit</t>
  </si>
  <si>
    <t>Trạm 5 · 15'</t>
  </si>
  <si>
    <t>Pain Moment &amp; 90-Day Plan → tab 5_90Day_Plan</t>
  </si>
  <si>
    <t>Trạm 6 · 20'</t>
  </si>
  <si>
    <t>Evidence Pack &amp; ráp One-Pager → tab 5_90Day_Plan + file .docx</t>
  </si>
  <si>
    <t>3 QUY TẮC KHÔNG ĐƯỢC PHÁ</t>
  </si>
  <si>
    <t>1. Chia cho số job HOÀN THÀNH, không phải số job đã thử.</t>
  </si>
  <si>
    <t>2. HITL và Retry không được để 0 nếu không có lý do viết ra được.</t>
  </si>
  <si>
    <t>3. Mọi con số giá API phải có NGÀY kiểm tra (xem tab 6_Benchmarks).</t>
  </si>
  <si>
    <t>Giá tham chiếu trong workbook này được chốt ngày 26/08/2026. Nhiều mức giá là KHUYẾN MẠI CÓ HẠN.</t>
  </si>
  <si>
    <t>Bạn PHẢI tự mở lại trang giá của nhà cung cấp và cập nhật — đây là một phần của bài tập.</t>
  </si>
  <si>
    <t>TAB 1 — COST/JOB CALCULATOR</t>
  </si>
  <si>
    <t>Trạm 1 (S1–S2) và Trạm 3 (S3–S8). Chỉ điền ô vàng.</t>
  </si>
  <si>
    <t>S1. ĐỊNH NGHĨA JOB</t>
  </si>
  <si>
    <t>1 job của bạn là gì?</t>
  </si>
  <si>
    <t>1 hồ sơ báo giá &amp; phương án tài chính BĐS hợp lệ được phê duyệt chính thức (kèm snapshot SHA-256, Time-Travel policy và Compliance gate)</t>
  </si>
  <si>
    <t>Phải là thứ KHÁCH coi là giá trị — không phải '1 request'</t>
  </si>
  <si>
    <t>Biến thể HITL: A hay B?</t>
  </si>
  <si>
    <t>B</t>
  </si>
  <si>
    <t>A = khách tự xử lý ca escalate · B = BẠN chịu (outcome/managed)</t>
  </si>
  <si>
    <t>S2. KHỐI LƯỢNG</t>
  </si>
  <si>
    <t>Số job THỬ / tháng</t>
  </si>
  <si>
    <t>job</t>
  </si>
  <si>
    <t>Containment rate (AI tự làm xong)</t>
  </si>
  <si>
    <t>Chưa đo → ước tính và ghi rõ</t>
  </si>
  <si>
    <t>→ Số job HOÀN THÀNH / tháng</t>
  </si>
  <si>
    <t>MẪU SỐ của Cost/Job</t>
  </si>
  <si>
    <t>→ Số job KHÔNG xong / tháng</t>
  </si>
  <si>
    <t>Số ca phải escalate</t>
  </si>
  <si>
    <t>S3. API — LLM</t>
  </si>
  <si>
    <t>Giá input ($ / 1M token)</t>
  </si>
  <si>
    <t>Claude Haiku 4.5 — xem tab 6_Benchmarks</t>
  </si>
  <si>
    <t>Giá output ($ / 1M token)</t>
  </si>
  <si>
    <t>Giá cache WRITE ($ / 1M token)</t>
  </si>
  <si>
    <t>Anthropic 5-phút = 1,25× input</t>
  </si>
  <si>
    <t>Giá cache READ ($ / 1M token)</t>
  </si>
  <si>
    <t>≈ 0,1× input (giảm 90%)</t>
  </si>
  <si>
    <t>Số lượt (turns) / job</t>
  </si>
  <si>
    <t>lượt</t>
  </si>
  <si>
    <t>Token input CACHE ĐƯỢC / lượt</t>
  </si>
  <si>
    <t>token</t>
  </si>
  <si>
    <t>System prompt + KB + few-shot</t>
  </si>
  <si>
    <t>Token input FRESH / lượt</t>
  </si>
  <si>
    <t>Câu hỏi khách + dữ liệu động</t>
  </si>
  <si>
    <t>Token output / lượt</t>
  </si>
  <si>
    <t>→ Cache write / job</t>
  </si>
  <si>
    <t>→ Cache read / job</t>
  </si>
  <si>
    <t>→ Input fresh / job</t>
  </si>
  <si>
    <t>→ Output / job</t>
  </si>
  <si>
    <t>→ LLM / job — CÓ prompt caching</t>
  </si>
  <si>
    <t>→ LLM / job — KHÔNG cache</t>
  </si>
  <si>
    <t>→ % tiết kiệm nhờ caching</t>
  </si>
  <si>
    <t>Đòn bẩy rẻ nhất bạn có</t>
  </si>
  <si>
    <t>Dùng Batch API? (1 = có, 0 = không)</t>
  </si>
  <si>
    <t>Batch giảm 50% — chỉ khi job KHÔNG cần realtime</t>
  </si>
  <si>
    <t>→ LLM / job sau Batch</t>
  </si>
  <si>
    <t>S4. API — SPEECH (để 0 nếu sản phẩm không có thoại)</t>
  </si>
  <si>
    <t>Giá STT ($ / phút)</t>
  </si>
  <si>
    <t>Deepgram streaming list $0,0077/phút</t>
  </si>
  <si>
    <t>Số phút audio / job</t>
  </si>
  <si>
    <t>phút</t>
  </si>
  <si>
    <t>Giá TTS ($ / 1M ký tự)</t>
  </si>
  <si>
    <t>ElevenLabs Flash $50 · Google Standard $4</t>
  </si>
  <si>
    <t>Số ký tự TTS / job</t>
  </si>
  <si>
    <t>ký tự</t>
  </si>
  <si>
    <t>≈ 900 ký tự cho mỗi phút bot nói</t>
  </si>
  <si>
    <t>→ Speech / job</t>
  </si>
  <si>
    <t>S5. INFRA</t>
  </si>
  <si>
    <t>Infra / job ($)</t>
  </si>
  <si>
    <t>Vector DB, embedding, storage, logging</t>
  </si>
  <si>
    <t>Telephony ($ / phút)</t>
  </si>
  <si>
    <t>→ Infra / job</t>
  </si>
  <si>
    <t>S6. RETRY</t>
  </si>
  <si>
    <t>Tỷ lệ job phải chạy lại</t>
  </si>
  <si>
    <t>ĐỪNG để 0%. Thực tế 5–10% là bình thường</t>
  </si>
  <si>
    <t>→ Retry / job</t>
  </si>
  <si>
    <t>S7. HITL — người trong vòng lặp</t>
  </si>
  <si>
    <t>Chi phí nhân sự ($ / giờ, fully-loaded)</t>
  </si>
  <si>
    <t>Gồm lương + bảo hiểm + quản lý + chỗ ngồi</t>
  </si>
  <si>
    <t>% hội thoại QA nội bộ</t>
  </si>
  <si>
    <t>Luôn có, kể cả Biến thể A</t>
  </si>
  <si>
    <t>Số phút QA / ca</t>
  </si>
  <si>
    <t>Số phút xử lý 1 ca escalate</t>
  </si>
  <si>
    <t>→ QA nội bộ / tháng</t>
  </si>
  <si>
    <t>→ Escalation / tháng (chỉ Biến thể B)</t>
  </si>
  <si>
    <t>Biến thể A → 0 vì khách tự chịu</t>
  </si>
  <si>
    <t>→ Tổng HITL / tháng</t>
  </si>
  <si>
    <t>S8. OVERHEAD (tuỳ chọn)</t>
  </si>
  <si>
    <t>R&amp;D + Sales phân bổ / tháng ($)</t>
  </si>
  <si>
    <t>Để 0 nếu chỉ muốn xem Cost/Job thuần COGS</t>
  </si>
  <si>
    <t>KẾT QUẢ</t>
  </si>
  <si>
    <t>Chi phí biến đổi / tháng (API + Speech + Infra + Retry)</t>
  </si>
  <si>
    <t>HITL / tháng</t>
  </si>
  <si>
    <t>Overhead / tháng</t>
  </si>
  <si>
    <t>TỔNG CHI PHÍ / tháng</t>
  </si>
  <si>
    <t>★ COST/JOB (chưa overhead)</t>
  </si>
  <si>
    <t>$/job</t>
  </si>
  <si>
    <t>Con số chảy sang tab 2_Pricing</t>
  </si>
  <si>
    <t>★ COST/JOB (có overhead)</t>
  </si>
  <si>
    <t>Tỷ giá (₫ / USD) — giả định</t>
  </si>
  <si>
    <t>₫/USD</t>
  </si>
  <si>
    <t>Thay bằng tỷ giá thực tế khi làm bài</t>
  </si>
  <si>
    <t>→ Cost/Job quy đổi</t>
  </si>
  <si>
    <t>₫/job</t>
  </si>
  <si>
    <t>THÀNH PHẦN NÀO ĂN NHIỀU NHẤT? (kiểm tra nhanh)</t>
  </si>
  <si>
    <t>LLM</t>
  </si>
  <si>
    <t>Speech</t>
  </si>
  <si>
    <t>Infra</t>
  </si>
  <si>
    <t>Retry</t>
  </si>
  <si>
    <t>HITL</t>
  </si>
  <si>
    <t>Overhead</t>
  </si>
  <si>
    <t>Nếu LLM chiếm &gt;80% thì gần như chắc chắn bạn đang thiếu chi phí ở S5–S7.</t>
  </si>
  <si>
    <t>TAB 2 — PRICING SANITY CHECK</t>
  </si>
  <si>
    <t>Trạm 3. Cost/Job tự lấy từ tab 1. Bạn điền giá bán và các con số neo giá.</t>
  </si>
  <si>
    <t>GIÁ SÀN</t>
  </si>
  <si>
    <t>Cost/Job (từ tab 1_Cost_Job)</t>
  </si>
  <si>
    <t>Hệ số an toàn tối thiểu</t>
  </si>
  <si>
    <t>×</t>
  </si>
  <si>
    <t>Giá bán ≥ 3 × Cost/Job</t>
  </si>
  <si>
    <t>→ GIÁ SÀN</t>
  </si>
  <si>
    <t>GIÁ TRẦN — NEO THEO THỨ KHÁCH ĐANG CHI</t>
  </si>
  <si>
    <t>Giá trị khách tiết kiệm được / tháng ($)</t>
  </si>
  <si>
    <t>Neo theo giá trị</t>
  </si>
  <si>
    <t>Số job / tháng của 1 khách</t>
  </si>
  <si>
    <t>→ Trần theo giá trị — mức 10%</t>
  </si>
  <si>
    <t>→ Trần theo giá trị — mức 25%</t>
  </si>
  <si>
    <t>Lương / tháng của vị trí bị thay ($)</t>
  </si>
  <si>
    <t>Neo theo nhân công</t>
  </si>
  <si>
    <t>→ Trần theo nhân công — mức 50%</t>
  </si>
  <si>
    <t>→ Trần theo nhân công — mức 70%</t>
  </si>
  <si>
    <t>GIÁ BÁN CỦA BẠN</t>
  </si>
  <si>
    <t>★ Giá bán đề xuất ($ / job)</t>
  </si>
  <si>
    <t>Tham chiếu: Intercom Fin $0,99 · Zendesk $1,50</t>
  </si>
  <si>
    <t>→ Bội số so với Cost/Job</t>
  </si>
  <si>
    <t>→ GROSS MARGIN</t>
  </si>
  <si>
    <t>→ Đèn: bội số ≥ 3?</t>
  </si>
  <si>
    <t>→ Đèn: Gross Margin</t>
  </si>
  <si>
    <t>→ Đèn: GM có cao bất thường?</t>
  </si>
  <si>
    <t>→ Giá bán nằm trong vùng neo?</t>
  </si>
  <si>
    <t>BREAKEVEN CONTAINMENT — ngưỡng sống còn</t>
  </si>
  <si>
    <t>Ký hiệu: v = chi phí biến đổi / job thử · q = QA / job thử · e = chi phí 1 ca escalate</t>
  </si>
  <si>
    <t>v — chi phí biến đổi / job thử</t>
  </si>
  <si>
    <t>q — QA nội bộ / job thử</t>
  </si>
  <si>
    <t>e — chi phí 1 ca escalate</t>
  </si>
  <si>
    <t>Gross Margin mục tiêu</t>
  </si>
  <si>
    <t>★ Containment tối thiểu cần đạt</t>
  </si>
  <si>
    <t>Công thức: R ≥ (v+q+e) / (P×(1−GM)+e)</t>
  </si>
  <si>
    <t>Containment hiện tại (từ tab 1)</t>
  </si>
  <si>
    <t>→ Kết luận</t>
  </si>
  <si>
    <t>SENSITIVITY — mô hình gãy ở đâu?</t>
  </si>
  <si>
    <t>Containment</t>
  </si>
  <si>
    <t>Cost/Job</t>
  </si>
  <si>
    <t>Gross Margin</t>
  </si>
  <si>
    <t>Đánh giá</t>
  </si>
  <si>
    <t>Nhìn cột Gross Margin: mô hình của bạn mong manh đến mức nào khi AI làm sai nhiều hơn dự kiến?</t>
  </si>
  <si>
    <t>5 CON SỐ PHẢI MANG SANG ONE-PAGER</t>
  </si>
  <si>
    <t>Giá sàn (3×)</t>
  </si>
  <si>
    <t>Giá bán đề xuất</t>
  </si>
  <si>
    <t>Breakeven containment</t>
  </si>
  <si>
    <t>TAB 3 — VALUE METRIC SCORECARD</t>
  </si>
  <si>
    <t>Trạm 2. Chấm 0 / 1 / 2 điểm cho mỗi câu, theo THỰC TẾ HÔM NAY.</t>
  </si>
  <si>
    <t>A. ATTRIBUTION — bạn đo được kết quả là do AI tạo ra không?</t>
  </si>
  <si>
    <t>1. Tôi có log đầy đủ mỗi job AI xử lý, gắn được với kết quả cuối cùng</t>
  </si>
  <si>
    <t>2. Tôi có bộ eval đo được tỷ lệ AI làm đúng, có số liệu</t>
  </si>
  <si>
    <t>3. Khách hàng đồng ý với cách tôi định nghĩa 'thành công' của một job</t>
  </si>
  <si>
    <t>4. Tôi phân biệt được kết quả do AI tạo ra với kết quả do yếu tố khác</t>
  </si>
  <si>
    <t>5. Tôi viết được định nghĩa chặt như Intercom: cái gì tính tiền, cái gì không</t>
  </si>
  <si>
    <t>→ ĐIỂM ATTRIBUTION (tối đa 10)</t>
  </si>
  <si>
    <t>B. AUTONOMY — AI tự chạy hay cần người?</t>
  </si>
  <si>
    <t>1. AI hoàn thành job từ đầu đến cuối, không cần người bấm nút giữa chừng</t>
  </si>
  <si>
    <t>2. Job chạy được ngoài giờ hành chính mà không ai trực</t>
  </si>
  <si>
    <t>3. Khi AI không chắc, nó tự chuyển tiếp đúng chỗ — không cần người phân loại</t>
  </si>
  <si>
    <t>4. Tỷ lệ ca phải có người can thiệp dưới 20%</t>
  </si>
  <si>
    <t>5. Người vận hành chỉ kiểm tra mẫu (QA), không xử lý từng ca</t>
  </si>
  <si>
    <t>→ ĐIỂM AUTONOMY (tối đa 10)</t>
  </si>
  <si>
    <t>GỢI Ý CỦA MODEL</t>
  </si>
  <si>
    <t>→ Value Metric gợi ý</t>
  </si>
  <si>
    <t>Ngưỡng 7/10 là quy ước của bài tập, không phải chuẩn ngành — dùng để buộc bạn ra quyết định, không phải để thay bạn quyết định.</t>
  </si>
  <si>
    <t>BENCHMARK NGƯỢC — 2 sản phẩm thật cùng loại job</t>
  </si>
  <si>
    <t>Tên sản phẩm</t>
  </si>
  <si>
    <t>Value Metric</t>
  </si>
  <si>
    <t>Giá công bố</t>
  </si>
  <si>
    <t>Link nguồn</t>
  </si>
  <si>
    <t>Salesforce Agentforce</t>
  </si>
  <si>
    <t>Outcome / Action (Flex Credits)</t>
  </si>
  <si>
    <t xml:space="preserve"> / conversation hoặc ,10 / action</t>
  </si>
  <si>
    <t>https://www.salesforce.com/agentforce/pricing/</t>
  </si>
  <si>
    <t>Intercom Fin</t>
  </si>
  <si>
    <t>Outcome (Resolution)</t>
  </si>
  <si>
    <t>,99 / resolution thành công</t>
  </si>
  <si>
    <t>https://fin.ai/pricing/</t>
  </si>
  <si>
    <t>QUYẾT ĐỊNH CUỐI</t>
  </si>
  <si>
    <t>Value Metric tôi chọn</t>
  </si>
  <si>
    <t>Outcome</t>
  </si>
  <si>
    <t>Nếu KHÁC gợi ý — lý do thị trường là gì?</t>
  </si>
  <si>
    <t>Khớp hoàn toàn với gợi ý OUTCOME của model (Attribution 9/10, Autonomy 7/10); thị trường BĐS ưa chuộng trả theo kết quả hồ sơ báo giá bảo chứng thành công.</t>
  </si>
  <si>
    <t>Decision Note — câu 1: tôi chọn đơn vị nào?</t>
  </si>
  <si>
    <t>Tôi chọn đơn vị Outcome: ,99 / mỗi hồ sơ báo giá BĐS hợp lệ được phê duyệt chính thức (kèm snapshot SHA-256 bảo chứng).</t>
  </si>
  <si>
    <t>Decision Note — câu 2: bằng chứng Attribution / Autonomy?</t>
  </si>
  <si>
    <t>Attribution đạt 9/10 nhờ mã băm SHA-256, tọa độ chứng cứ Claim-Level F4 và bộ kiểm chuẩn 15 test cases kế toán chính xác 100%; Autonomy đạt 7/10 với containment 82% và cơ chế Safe Abstention tự động.</t>
  </si>
  <si>
    <t>Decision Note — câu 3: mô hình này lỗ trong tình huống nào?</t>
  </si>
  <si>
    <t>Mô hình này lỗ nếu tỷ lệ containment tụt dưới 74,1% (tỷ lệ ngoại lệ &gt; 25,9%), khiến chi phí nhân sự xử lý ngoại lệ HITL tăng vọt nuốt chửng biên lợi nhuận; khắc phục bằng cách bổ sung phí nền tảng /tháng (hybrid) để bảo vệ giá sàn.</t>
  </si>
  <si>
    <t>TAB 4 — CHANNEL FIT &amp; AFFORDABILITY TEST</t>
  </si>
  <si>
    <t>Trạm 4. Chọn ĐÚNG 1 kênh cho 90 ngày đầu — và chứng minh bằng số.</t>
  </si>
  <si>
    <t>A. NGÂN SÁCH CAC — bạn nuôi nổi kênh nào?</t>
  </si>
  <si>
    <t>ARPU / tháng ($)</t>
  </si>
  <si>
    <t>Gross Margin (từ tab 2_Pricing)</t>
  </si>
  <si>
    <t>Phân khúc (SMB / Mid / Enterprise)</t>
  </si>
  <si>
    <t>SMB</t>
  </si>
  <si>
    <t>→ CAC payback cho phép (tháng)</t>
  </si>
  <si>
    <t>tháng</t>
  </si>
  <si>
    <t>Bessemer, Scaling to $100M (2024)</t>
  </si>
  <si>
    <t>★ NGÂN SÁCH CAC / khách</t>
  </si>
  <si>
    <t>ARPU × GM × số tháng payback</t>
  </si>
  <si>
    <t>→ ACV (giá trị hợp đồng / năm)</t>
  </si>
  <si>
    <t>B. SALES VIABILITY — một AE phải chốt bao nhiêu deal?</t>
  </si>
  <si>
    <t>Quota / AE / năm ($)</t>
  </si>
  <si>
    <t>Giả định gốc của Tunguz (2016) — thay bằng số thị trường bạn</t>
  </si>
  <si>
    <t>Số ngày làm việc / năm</t>
  </si>
  <si>
    <t>ngày</t>
  </si>
  <si>
    <t>→ Số deal / AE / năm</t>
  </si>
  <si>
    <t>★ Số deal / AE / NGÀY</t>
  </si>
  <si>
    <t>deal/ngày</t>
  </si>
  <si>
    <t>→ Kết luận Sales-Led</t>
  </si>
  <si>
    <t>C. ĐỐI CHIẾU CAC THỰC TẾ CỦA MOTION CÓ SALES</t>
  </si>
  <si>
    <t>Cost per opportunity ($)</t>
  </si>
  <si>
    <t>ICONIQ 2026 theo phân khúc: $6.300 · $8.000 · $11.200</t>
  </si>
  <si>
    <t>Win rate</t>
  </si>
  <si>
    <t>→ CAC thực tế ước tính / khách</t>
  </si>
  <si>
    <t>★ Lệch bao nhiêu lần so với ngân sách CAC?</t>
  </si>
  <si>
    <t>Đây là bằng chứng chọn kênh của bạn</t>
  </si>
  <si>
    <t>D. CHẤM ĐIỂM 3 KÊNH (1 = rất kém, 5 = rất tốt)</t>
  </si>
  <si>
    <t>Tiêu chí</t>
  </si>
  <si>
    <t>PLG</t>
  </si>
  <si>
    <t>Sales-Led</t>
  </si>
  <si>
    <t>Partner-Led</t>
  </si>
  <si>
    <t>1. Ngân sách CAC của tôi nuôi nổi kênh này</t>
  </si>
  <si>
    <t>2. Khách hàng mục tiêu thực sự mua theo cách này</t>
  </si>
  <si>
    <t>3. Đội hiện tại có năng lực chạy kênh này ngay</t>
  </si>
  <si>
    <t>4. Tôi tiếp cận được điểm nhúng / partner trong 30 ngày</t>
  </si>
  <si>
    <t>5. Kênh này đưa tôi đến ĐÚNG Pain Moment</t>
  </si>
  <si>
    <t>6. Tôi đo được hiệu quả trong vòng 90 ngày</t>
  </si>
  <si>
    <t>→ TỔNG ĐIỂM</t>
  </si>
  <si>
    <t>→ Kênh điểm cao nhất</t>
  </si>
  <si>
    <t>E. CHỐT KÊNH</t>
  </si>
  <si>
    <t>★ Kênh tôi chọn cho 90 ngày đầu</t>
  </si>
  <si>
    <t>ĐÚNG 1 kênh. Chọn 2 kênh trở lên bị trừ điểm.</t>
  </si>
  <si>
    <t>Nếu Partner-Led: TÊN CÔNG TY partner</t>
  </si>
  <si>
    <t>Công ty Cổ phần Tập đoàn Meey Land (Nền tảng Meey CRM)</t>
  </si>
  <si>
    <t>'Các nền tảng trong ngành' = chưa có kênh</t>
  </si>
  <si>
    <t>Đã nói chuyện với họ chưa? (Rồi / Chưa)</t>
  </si>
  <si>
    <t>Chưa</t>
  </si>
  <si>
    <t>Bạn mang lại giá trị gì cho partner?</t>
  </si>
  <si>
    <t>Tích hợp bộ công cụ tính giá chính sách tự động không ảo giác và đối soát chiết khấu bảo vệ biên lợi nhuận trực tiếp vào Meey CRM, giúp Meey CRM gia tăng giá trị cho hàng trăm sàn BĐS mà không cần tự phát triển AI.</t>
  </si>
  <si>
    <t>Nếu rơi vào vùng không khả thi — lối thoát nào?</t>
  </si>
  <si>
    <t>Đi Partner-Led: Cắm trực tiếp tính năng vào Meey CRM để tận dụng tệp hàng trăm sàn phân phối BĐS có sẵn, chia sẻ doanh thu (revenue share 20%), bypass hoàn toàn chi phí CAC direct sales.</t>
  </si>
  <si>
    <t>Giảm giá để tự phục vụ / tăng giá + service / Partner-Led</t>
  </si>
  <si>
    <t>TAB 5 — PAIN MOMENT · 90-DAY PLAN · EVIDENCE PACK</t>
  </si>
  <si>
    <t>Trạm 5 và Trạm 6.</t>
  </si>
  <si>
    <t>A. PAIN MOMENT — phải đủ 3 phần</t>
  </si>
  <si>
    <t>MẤY GIỜ khách đau nhất?</t>
  </si>
  <si>
    <t>20h30 tối (hoặc 10h15 sáng ngày mở bán sự kiện đông nghìn người)</t>
  </si>
  <si>
    <t>Lúc đó họ ĐANG LÀM GÌ?</t>
  </si>
  <si>
    <t>Khách hàng đòi chốt căn 4,5 tỷ nhưng yêu cầu cộng dồn voucher 100tr + chiết khấu thanh toán sớm 8% + ân hạn nợ gốc 24 tháng; nhân viên kinh doanh lúng túng mở 4 file Excel chính sách khác nhau (v2, v3, v3.1) không biết có vi phạm quy định hay bị trừ hoa hồng không, gọi Quản lý thì máy bận.</t>
  </si>
  <si>
    <t>Họ đang DÙNG APP / KÊNH NÀO?</t>
  </si>
  <si>
    <t>Nhóm chat Zalo trên điện thoại (đang gửi ảnh chụp màn hình bảng tính Excel và bảng giá niêm yết).</t>
  </si>
  <si>
    <t>→ Điểm nhúng cụ thể của bạn</t>
  </si>
  <si>
    <t>Zalo Mini App &amp; Web Extension nhúng trực tiếp trong màn hình quản lý giao dịch Meey CRM / VLandFuture Sales Portal.</t>
  </si>
  <si>
    <t>Một bề mặt tích hợp có tên, không phải 'website của chúng tôi'</t>
  </si>
  <si>
    <t>B. 90-DAY PLAN</t>
  </si>
  <si>
    <t>THÁNG 1 — Học</t>
  </si>
  <si>
    <t>THÁNG 2–3 — Đòn bẩy</t>
  </si>
  <si>
    <t>THÁNG 4+ — Mở rộng</t>
  </si>
  <si>
    <t>Kênh sử dụng</t>
  </si>
  <si>
    <t>Partner-Led (Pilot hẹp tại 1 sàn đối tác VLandFuture)</t>
  </si>
  <si>
    <t>Partner-Led (Mở rộng trong hệ sinh thái Meey CRM / VLandFuture)</t>
  </si>
  <si>
    <t>Partner-Led kết hợp Inbound Product-Led Expansion</t>
  </si>
  <si>
    <t>Mục tiêu số khách</t>
  </si>
  <si>
    <t>1 sàn đối tác (40 sales tuyến đầu)</t>
  </si>
  <si>
    <t>5 sàn phân phối BĐS (khoảng 200 sales)</t>
  </si>
  <si>
    <t>20 sàn phân phối (khoảng 1.000 sales hoạt động)</t>
  </si>
  <si>
    <t>Việc cụ thể 1</t>
  </si>
  <si>
    <t>Cài đặt Zalo Mini App cho 40 sales và số hóa 3 văn bản chính sách bán hàng hiện hành</t>
  </si>
  <si>
    <t>Tích hợp API chính thức vào Meey CRM để sales mở trực tiếp từ giỏ hàng</t>
  </si>
  <si>
    <t>Ra mắt gói tính năng nâng cao Multi-Project cho các Chủ đầu tư lớn</t>
  </si>
  <si>
    <t>Việc cụ thể 2</t>
  </si>
  <si>
    <t>Product Lead trực tiếp túc trực tại sàn 3 buổi/tuần quan sát sales tư vấn thực tế</t>
  </si>
  <si>
    <t>Tổ chức 2 buổi workshop đào tạo trực tuyến cho 200 sales về cách dùng bảo chứng SHA-256 chốt cọc</t>
  </si>
  <si>
    <t>Triển khai chương trình chia sẻ doanh thu 20% với các đối tác phần mềm BĐS khác</t>
  </si>
  <si>
    <t>Việc cụ thể 3</t>
  </si>
  <si>
    <t>Ghi nhận 100% ca Safe Abstention và lỗi tính toán để tinh chỉnh prompt + rule</t>
  </si>
  <si>
    <t>Thiết lập dashboard đối soát chiết khấu tự động cho Giám đốc sàn</t>
  </si>
  <si>
    <t>Tự động hóa hoàn toàn luồng onboarding dự án mới cho Policy Admin</t>
  </si>
  <si>
    <t>KPI đo được</t>
  </si>
  <si>
    <t>300 báo giá được tạo, 0 lỗi sai số học, thời gian tạo báo giá &lt; 15 giây</t>
  </si>
  <si>
    <t>1.500 báo giá/tháng, tỷ lệ containment đạt ≥ 82%, NPS của sales đạt ≥ 60</t>
  </si>
  <si>
    <t>10.000 báo giá/tháng, MRR đạt .000, CAC Payback &lt; 4 tháng</t>
  </si>
  <si>
    <t>Người chịu trách nhiệm</t>
  </si>
  <si>
    <t>Product Lead (Lead Product Strategist)</t>
  </si>
  <si>
    <t>Partnership Lead &amp; Technical Solution Architect</t>
  </si>
  <si>
    <t>Head of Growth &amp; CEO</t>
  </si>
  <si>
    <t>Tháng 1 là giai đoạn HỌC, không phải scale. Kế hoạch 'tháng 1 lấy 200 khách ở 5 ngành' là kế hoạch chưa ai từng thử làm.</t>
  </si>
  <si>
    <t>C. EVIDENCE PACK — 3 tài sản bán hàng</t>
  </si>
  <si>
    <t>Tài sản</t>
  </si>
  <si>
    <t>Đã có? (Rồi/Chưa)</t>
  </si>
  <si>
    <t>Nội dung 1 câu — hoặc việc cần làm</t>
  </si>
  <si>
    <t>Người phụ trách · Deadline</t>
  </si>
  <si>
    <t xml:space="preserve">1. Eval Results </t>
  </si>
  <si>
    <t>Rồi</t>
  </si>
  <si>
    <t>Đạt 100% độ chính xác số học trên 15 Formula Regression test cases; tỷ lệ bắt xung đột chính sách đạt 99,5%; tỷ lệ dừng an toàn Safe Abstention đạt 100%.</t>
  </si>
  <si>
    <t>AI Tech Lead · Đã kiểm chuẩn 05/10/2026</t>
  </si>
  <si>
    <t xml:space="preserve">2. Risk Checklist </t>
  </si>
  <si>
    <t>(1) Không ảo giác số học: 100% tính toán ủy thác cho Python Math Engine; (2) Data chính sách lưu trên Supabase pgvector nội bộ, không train public LLM; (3) Mọi báo giá lưu snapshot SHA-256 bất biến phục vụ kiểm toán độc lập 10 năm.</t>
  </si>
  <si>
    <t>Security &amp; Compliance Lead · Hoàn tất 07/10/2026</t>
  </si>
  <si>
    <t>3. Pilot Report</t>
  </si>
  <si>
    <t>Mục tiêu Pilot 4 tuần tại sàn VLandFuture: 1.200 lượt báo giá, thời gian duyệt giảm từ 2 giờ xuống 45 giây, 0 sai sót chiết khấu, ngăn chặn thất thoát tối thiểu 300 triệu VNĐ.</t>
  </si>
  <si>
    <t>Product Lead &amp; Sàn VLandFuture · Deadline 30/11/2026</t>
  </si>
  <si>
    <t>Ô nào CHƯA CÓ thì ghi deadline — đừng bỏ trống. Thành thật về khoảng trống được điểm cao hơn bịa nội dung.</t>
  </si>
  <si>
    <t>D. BÀI TEST NGƯỜI LẠ — nhóm khác đọc One-Pager trong 2 phút</t>
  </si>
  <si>
    <t>Họ trả lời được: bán gì, cho ai, tính tiền theo đơn vị nào? (Được/Không)</t>
  </si>
  <si>
    <t>Được</t>
  </si>
  <si>
    <t>Họ trả lời được: có lãi trên mỗi đơn vị không, số nào chứng minh? (Được/Không)</t>
  </si>
  <si>
    <t>Họ trả lời được: tiếp cận khách qua đâu, vì sao kênh đó? (Được/Không)</t>
  </si>
  <si>
    <t>Số câu họ phải hỏi lại (mục tiêu ≤ 3)</t>
  </si>
  <si>
    <t>TAB 6 — BENCHMARKS (CHỈ ĐỌC)</t>
  </si>
  <si>
    <t>Giá chốt ngày 26/08/2026. Dòng có ⏳ là GIÁ KHUYẾN MẠI CÓ HẠN — phải kiểm tra lại.</t>
  </si>
  <si>
    <t>NGÀY BẠN KIỂM TRA LẠI GIÁ</t>
  </si>
  <si>
    <t>08/10/2026</t>
  </si>
  <si>
    <t>Bắt buộc điền — Rubric có chấm mục này</t>
  </si>
  <si>
    <t>Nhóm</t>
  </si>
  <si>
    <t>Mục</t>
  </si>
  <si>
    <t>Giá</t>
  </si>
  <si>
    <t>Đơn vị</t>
  </si>
  <si>
    <t>Nguồn</t>
  </si>
  <si>
    <t>Claude Opus 5 — input / output</t>
  </si>
  <si>
    <t>5,00 / 25,00</t>
  </si>
  <si>
    <t>$ / 1M token</t>
  </si>
  <si>
    <t>platform.claude.com/docs/en/about-claude/pricing</t>
  </si>
  <si>
    <t>Claude Sonnet 5 — input / output</t>
  </si>
  <si>
    <t>2,00 / 10,00</t>
  </si>
  <si>
    <t>Claude Haiku 4.5 — input / output</t>
  </si>
  <si>
    <t>1,00 / 5,00</t>
  </si>
  <si>
    <t>Claude — cache write 5' / cache read</t>
  </si>
  <si>
    <t>1,25× / 0,10× input</t>
  </si>
  <si>
    <t>hệ số</t>
  </si>
  <si>
    <t>⏳ OpenAI GPT-5.6 Sol — input / output</t>
  </si>
  <si>
    <t>4,00 / 20,00</t>
  </si>
  <si>
    <t>developers.openai.com/api/docs/pricing (KM 21/08–21/11/2026; list 5,00/30,00)</t>
  </si>
  <si>
    <t>OpenAI GPT-5.6 Luna — input / output</t>
  </si>
  <si>
    <t>0,20 / 1,20</t>
  </si>
  <si>
    <t>developers.openai.com/api/docs/pricing</t>
  </si>
  <si>
    <t>OpenAI — cached input / Batch API</t>
  </si>
  <si>
    <t>10% input / −50%</t>
  </si>
  <si>
    <t>Gemini 3.1 Pro — input / output (≤200k)</t>
  </si>
  <si>
    <t>2,00 / 12,00</t>
  </si>
  <si>
    <t>ai.google.dev/gemini-api/docs/pricing</t>
  </si>
  <si>
    <t>⏳ Gemini 3.7 Flash — input / output</t>
  </si>
  <si>
    <t>0,75 / 3,75</t>
  </si>
  <si>
    <t>ai.google.dev/gemini-api/docs/pricing (KM đến 31/12/2026; sau đó 1,50/7,50)</t>
  </si>
  <si>
    <t>STT</t>
  </si>
  <si>
    <t>Deepgram Nova-3 — pre-recorded</t>
  </si>
  <si>
    <t>0,0043</t>
  </si>
  <si>
    <t>$ / phút</t>
  </si>
  <si>
    <t>deepgram.com/pricing</t>
  </si>
  <si>
    <t>⏳ Deepgram Nova-3 — streaming</t>
  </si>
  <si>
    <t>list 0,0077 · KM 0,0048</t>
  </si>
  <si>
    <t>deepgram.com/pricing — đang khuyến mại, kiểm tra lại</t>
  </si>
  <si>
    <t>AssemblyAI Universal-2 — async</t>
  </si>
  <si>
    <t>0,0025</t>
  </si>
  <si>
    <t>assemblyai.com/pricing</t>
  </si>
  <si>
    <t>OpenAI gpt-4o-mini-transcribe</t>
  </si>
  <si>
    <t>0,0030</t>
  </si>
  <si>
    <t>TTS</t>
  </si>
  <si>
    <t>Google Cloud TTS — Standard</t>
  </si>
  <si>
    <t>4,00</t>
  </si>
  <si>
    <t>$ / 1M ký tự</t>
  </si>
  <si>
    <t>cloud.google.com/text-to-speech/pricing (rẻ nhất)</t>
  </si>
  <si>
    <t>OpenAI tts-1</t>
  </si>
  <si>
    <t>15,00</t>
  </si>
  <si>
    <t>ElevenLabs Flash / Turbo</t>
  </si>
  <si>
    <t>50,00</t>
  </si>
  <si>
    <t>elevenlabs.io/pricing/api</t>
  </si>
  <si>
    <t>ElevenLabs v3 / v2 Multilingual</t>
  </si>
  <si>
    <t>100,00</t>
  </si>
  <si>
    <t>Quy đổi</t>
  </si>
  <si>
    <t>Tốc độ nói</t>
  </si>
  <si>
    <t>≈ 900</t>
  </si>
  <si>
    <t>ký tự / phút</t>
  </si>
  <si>
    <t>≈150 từ/phút — dùng để đổi phút ↔ ký tự</t>
  </si>
  <si>
    <t>Lưu ý</t>
  </si>
  <si>
    <t>Google TTS — ký tự CJK</t>
  </si>
  <si>
    <t>tính là 1 ký tự</t>
  </si>
  <si>
    <t>—</t>
  </si>
  <si>
    <t>cloud.google.com/text-to-speech/pricing (KHÔNG phải ×2)</t>
  </si>
  <si>
    <t>Google STT — tính theo kênh</t>
  </si>
  <si>
    <t>4 kênh × 120s = 480s</t>
  </si>
  <si>
    <t>cloud.google.com/speech-to-text/pricing</t>
  </si>
  <si>
    <t>Streaming vs async STT</t>
  </si>
  <si>
    <t>1× đến ~5×</t>
  </si>
  <si>
    <t>Tuỳ nhà cung cấp — AssemblyAI 1,0× · Google ~5×. Đừng dùng hệ số chung</t>
  </si>
  <si>
    <t>Sản phẩm</t>
  </si>
  <si>
    <t>Intercom Fin — resolution</t>
  </si>
  <si>
    <t>0,99</t>
  </si>
  <si>
    <t>$ / outcome</t>
  </si>
  <si>
    <t>fin.ai/pricing</t>
  </si>
  <si>
    <t>Intercom Fin — qualification (sales)</t>
  </si>
  <si>
    <t>9,99</t>
  </si>
  <si>
    <t>Zendesk — automated resolution</t>
  </si>
  <si>
    <t>1,50</t>
  </si>
  <si>
    <t>$ / resolution</t>
  </si>
  <si>
    <t>zendesk.com/blog/ai/agentic-ai/outcome-based-pricing/ (blog, không trên trang giá)</t>
  </si>
  <si>
    <t>Salesforce Agentforce — Flex Credit</t>
  </si>
  <si>
    <t>0,005 (action = 0,10)</t>
  </si>
  <si>
    <t>$ / credit</t>
  </si>
  <si>
    <t>salesforce.com/agentforce/pricing</t>
  </si>
  <si>
    <t>Salesforce Agentforce — conversation</t>
  </si>
  <si>
    <t>2,00</t>
  </si>
  <si>
    <t>$ / conversation</t>
  </si>
  <si>
    <t>GitHub Copilot — AI Credit</t>
  </si>
  <si>
    <t>0,01</t>
  </si>
  <si>
    <t>docs.github.com/en/copilot/get-started/plans</t>
  </si>
  <si>
    <t>GitHub Copilot Business / Enterprise</t>
  </si>
  <si>
    <t>19 / 39</t>
  </si>
  <si>
    <t>$ / seat / tháng</t>
  </si>
  <si>
    <t>Notion — Business / credits</t>
  </si>
  <si>
    <t>20 / 10 per 1.000</t>
  </si>
  <si>
    <t>$ / member / tháng</t>
  </si>
  <si>
    <t>notion.com/pricing</t>
  </si>
  <si>
    <t>Benchmark</t>
  </si>
  <si>
    <t>Gross Margin AI-native 2026E</t>
  </si>
  <si>
    <t>≈ 53%</t>
  </si>
  <si>
    <t>%</t>
  </si>
  <si>
    <t>ICONIQ, 2026 State of AI: The Builder's Economy (07/2026)</t>
  </si>
  <si>
    <t>Gross Margin cloud (middle 50%)</t>
  </si>
  <si>
    <t>60 – 80%</t>
  </si>
  <si>
    <t>Bessemer, Scaling to $100 Million (2024)</t>
  </si>
  <si>
    <t>Vertical AI — GM / model cost</t>
  </si>
  <si>
    <t>≈65% / ≈10% doanh thu</t>
  </si>
  <si>
    <t>Bessemer, State of the Cloud 2024</t>
  </si>
  <si>
    <t>CAC payback SMB / Mid / Enterprise</t>
  </si>
  <si>
    <t>12 / 18 / 24</t>
  </si>
  <si>
    <t>LTV : CAC</t>
  </si>
  <si>
    <t>≥ 3×</t>
  </si>
  <si>
    <t>lần</t>
  </si>
  <si>
    <t>David Skok, SaaS Metrics 2.0 (cập nhật 06/2026)</t>
  </si>
  <si>
    <t>Cost per opportunity 2026 (theo phân khúc)</t>
  </si>
  <si>
    <t>6.300 · 8.000 · 11.200</t>
  </si>
  <si>
    <t>$</t>
  </si>
  <si>
    <t>ICONIQ, State of GTM 2026 (tr.22)</t>
  </si>
  <si>
    <t>ACV sàn cho inside sales</t>
  </si>
  <si>
    <t>≈ 3.000</t>
  </si>
  <si>
    <t>$ / năm</t>
  </si>
  <si>
    <t>Tomasz Tunguz (2016) — có kèm giả định để tính lại</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</si>
</sst>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quot;$&quot;#,##0"/>
    <numFmt numFmtId="179" formatCode="0.0%"/>
    <numFmt numFmtId="180" formatCode="#,##0.0&quot;×&quot;"/>
    <numFmt numFmtId="181" formatCode="&quot;$&quot;#,##0.0000"/>
    <numFmt numFmtId="182" formatCode="#,##0.0"/>
    <numFmt numFmtId="183" formatCode="&quot;$&quot;#,##0.00"/>
    <numFmt numFmtId="184" formatCode="#,##0&quot; ₫&quot;"/>
  </numFmts>
  <fonts count="31">
    <font>
      <sz val="11"/>
      <color theme="1"/>
      <name val="Calibri"/>
      <charset val="134"/>
      <scheme val="minor"/>
    </font>
    <font>
      <b/>
      <sz val="14"/>
      <color rgb="FFFFFFFF"/>
      <name val="Arial"/>
      <charset val="134"/>
    </font>
    <font>
      <sz val="11"/>
      <color theme="1"/>
      <name val="Calibri"/>
      <charset val="134"/>
    </font>
    <font>
      <i/>
      <sz val="9"/>
      <color rgb="FF666666"/>
      <name val="Arial"/>
      <charset val="134"/>
    </font>
    <font>
      <sz val="10"/>
      <color theme="1"/>
      <name val="Arial"/>
      <charset val="134"/>
    </font>
    <font>
      <sz val="10"/>
      <color rgb="FF0000FF"/>
      <name val="Arial"/>
      <charset val="134"/>
    </font>
    <font>
      <b/>
      <sz val="10"/>
      <color rgb="FFFFFFFF"/>
      <name val="Arial"/>
      <charset val="134"/>
    </font>
    <font>
      <b/>
      <sz val="11"/>
      <color rgb="FF1F2937"/>
      <name val="Arial"/>
      <charset val="134"/>
    </font>
    <font>
      <b/>
      <sz val="10"/>
      <color theme="1"/>
      <name val="Arial"/>
      <charset val="134"/>
    </font>
    <font>
      <sz val="10"/>
      <color rgb="FF008000"/>
      <name val="Arial"/>
      <charset val="134"/>
    </font>
    <font>
      <b/>
      <sz val="11"/>
      <color rgb="FFC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38">
    <fill>
      <patternFill patternType="none"/>
    </fill>
    <fill>
      <patternFill patternType="gray125"/>
    </fill>
    <fill>
      <patternFill patternType="solid">
        <fgColor rgb="FF1F2937"/>
        <bgColor rgb="FF1F2937"/>
      </patternFill>
    </fill>
    <fill>
      <patternFill patternType="solid">
        <fgColor rgb="FFFFF2CC"/>
        <bgColor rgb="FFFFF2CC"/>
      </patternFill>
    </fill>
    <fill>
      <patternFill patternType="solid">
        <fgColor rgb="FFEDEDED"/>
        <bgColor rgb="FFEDEDED"/>
      </patternFill>
    </fill>
    <fill>
      <patternFill patternType="solid">
        <fgColor rgb="FFE8EAF6"/>
        <bgColor rgb="FFE8EAF6"/>
      </patternFill>
    </fill>
    <fill>
      <patternFill patternType="solid">
        <fgColor rgb="FFF2F2F2"/>
        <bgColor rgb="FFF2F2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7"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8" borderId="5" applyNumberFormat="0" applyAlignment="0" applyProtection="0">
      <alignment vertical="center"/>
    </xf>
    <xf numFmtId="0" fontId="20" fillId="9" borderId="6" applyNumberFormat="0" applyAlignment="0" applyProtection="0">
      <alignment vertical="center"/>
    </xf>
    <xf numFmtId="0" fontId="21" fillId="9" borderId="5" applyNumberFormat="0" applyAlignment="0" applyProtection="0">
      <alignment vertical="center"/>
    </xf>
    <xf numFmtId="0" fontId="22" fillId="10"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cellStyleXfs>
  <cellXfs count="44">
    <xf numFmtId="0" fontId="0" fillId="0" borderId="0" xfId="0" applyAlignment="1"/>
    <xf numFmtId="0" fontId="0" fillId="0" borderId="0" xfId="0"/>
    <xf numFmtId="0" fontId="1" fillId="2" borderId="0" xfId="0" applyFont="1" applyFill="1" applyAlignment="1"/>
    <xf numFmtId="0" fontId="2" fillId="2" borderId="0" xfId="0" applyFont="1" applyFill="1" applyAlignment="1"/>
    <xf numFmtId="0" fontId="3" fillId="0" borderId="0" xfId="0" applyFont="1" applyAlignment="1"/>
    <xf numFmtId="0" fontId="4" fillId="0" borderId="0" xfId="0" applyFont="1" applyAlignment="1"/>
    <xf numFmtId="0" fontId="5" fillId="3" borderId="1" xfId="0" applyFont="1" applyFill="1" applyBorder="1" applyAlignment="1"/>
    <xf numFmtId="0" fontId="6" fillId="2" borderId="1" xfId="0" applyFont="1" applyFill="1" applyBorder="1" applyAlignment="1"/>
    <xf numFmtId="0" fontId="4" fillId="4" borderId="1" xfId="0" applyFont="1" applyFill="1" applyBorder="1" applyAlignment="1">
      <alignment vertical="top"/>
    </xf>
    <xf numFmtId="0" fontId="3" fillId="4" borderId="1" xfId="0" applyFont="1" applyFill="1" applyBorder="1" applyAlignment="1">
      <alignment vertical="top" wrapText="1"/>
    </xf>
    <xf numFmtId="0" fontId="7" fillId="5" borderId="0" xfId="0" applyFont="1" applyFill="1" applyAlignment="1"/>
    <xf numFmtId="0" fontId="2" fillId="5" borderId="0" xfId="0" applyFont="1" applyFill="1" applyAlignment="1"/>
    <xf numFmtId="0" fontId="8" fillId="4" borderId="1" xfId="0" applyFont="1" applyFill="1" applyBorder="1" applyAlignment="1"/>
    <xf numFmtId="0" fontId="5" fillId="3" borderId="1" xfId="0" applyFont="1" applyFill="1" applyBorder="1" applyAlignment="1">
      <alignment vertical="top" wrapText="1"/>
    </xf>
    <xf numFmtId="178" fontId="5" fillId="3" borderId="1" xfId="0" applyNumberFormat="1" applyFont="1" applyFill="1" applyBorder="1" applyAlignment="1"/>
    <xf numFmtId="179" fontId="9" fillId="6" borderId="1" xfId="0" applyNumberFormat="1" applyFont="1" applyFill="1" applyBorder="1" applyAlignment="1"/>
    <xf numFmtId="0" fontId="5" fillId="3" borderId="1" xfId="0" applyFont="1" applyFill="1" applyBorder="1" applyAlignment="1">
      <alignment horizontal="center"/>
    </xf>
    <xf numFmtId="3" fontId="4" fillId="6" borderId="1" xfId="0" applyNumberFormat="1" applyFont="1" applyFill="1" applyBorder="1" applyAlignment="1"/>
    <xf numFmtId="0" fontId="8" fillId="0" borderId="0" xfId="0" applyFont="1" applyAlignment="1"/>
    <xf numFmtId="178" fontId="10" fillId="6" borderId="1" xfId="0" applyNumberFormat="1" applyFont="1" applyFill="1" applyBorder="1" applyAlignment="1"/>
    <xf numFmtId="178" fontId="4" fillId="6" borderId="1" xfId="0" applyNumberFormat="1" applyFont="1" applyFill="1" applyBorder="1" applyAlignment="1"/>
    <xf numFmtId="3" fontId="5" fillId="3" borderId="1" xfId="0" applyNumberFormat="1" applyFont="1" applyFill="1" applyBorder="1" applyAlignment="1"/>
    <xf numFmtId="4" fontId="10" fillId="6" borderId="1" xfId="0" applyNumberFormat="1" applyFont="1" applyFill="1" applyBorder="1" applyAlignment="1"/>
    <xf numFmtId="0" fontId="4" fillId="6" borderId="1" xfId="0" applyFont="1" applyFill="1" applyBorder="1" applyAlignment="1"/>
    <xf numFmtId="179" fontId="5" fillId="3" borderId="1" xfId="0" applyNumberFormat="1" applyFont="1" applyFill="1" applyBorder="1" applyAlignment="1"/>
    <xf numFmtId="180" fontId="10" fillId="6" borderId="1" xfId="0" applyNumberFormat="1" applyFont="1" applyFill="1" applyBorder="1" applyAlignment="1"/>
    <xf numFmtId="0" fontId="10" fillId="6" borderId="1" xfId="0" applyFont="1" applyFill="1" applyBorder="1" applyAlignment="1"/>
    <xf numFmtId="3" fontId="10" fillId="6" borderId="1" xfId="0" applyNumberFormat="1" applyFont="1" applyFill="1" applyBorder="1" applyAlignment="1"/>
    <xf numFmtId="181" fontId="9" fillId="6" borderId="1" xfId="0" applyNumberFormat="1" applyFont="1" applyFill="1" applyBorder="1" applyAlignment="1"/>
    <xf numFmtId="182" fontId="5" fillId="3" borderId="1" xfId="0" applyNumberFormat="1" applyFont="1" applyFill="1" applyBorder="1" applyAlignment="1"/>
    <xf numFmtId="181" fontId="10" fillId="6" borderId="1" xfId="0" applyNumberFormat="1" applyFont="1" applyFill="1" applyBorder="1" applyAlignment="1"/>
    <xf numFmtId="181" fontId="4" fillId="6" borderId="1" xfId="0" applyNumberFormat="1" applyFont="1" applyFill="1" applyBorder="1" applyAlignment="1"/>
    <xf numFmtId="181" fontId="5" fillId="3" borderId="1" xfId="0" applyNumberFormat="1" applyFont="1" applyFill="1" applyBorder="1" applyAlignment="1"/>
    <xf numFmtId="180" fontId="4" fillId="6" borderId="1" xfId="0" applyNumberFormat="1" applyFont="1" applyFill="1" applyBorder="1" applyAlignment="1"/>
    <xf numFmtId="179" fontId="10" fillId="6" borderId="1" xfId="0" applyNumberFormat="1" applyFont="1" applyFill="1" applyBorder="1" applyAlignment="1"/>
    <xf numFmtId="179" fontId="4" fillId="4" borderId="1" xfId="0" applyNumberFormat="1" applyFont="1" applyFill="1" applyBorder="1" applyAlignment="1"/>
    <xf numFmtId="179" fontId="4" fillId="6" borderId="1" xfId="0" applyNumberFormat="1" applyFont="1" applyFill="1" applyBorder="1" applyAlignment="1"/>
    <xf numFmtId="183" fontId="5" fillId="3" borderId="1" xfId="0" applyNumberFormat="1" applyFont="1" applyFill="1" applyBorder="1" applyAlignment="1"/>
    <xf numFmtId="183" fontId="4" fillId="6" borderId="1" xfId="0" applyNumberFormat="1" applyFont="1" applyFill="1" applyBorder="1" applyAlignment="1"/>
    <xf numFmtId="183" fontId="10" fillId="6" borderId="1" xfId="0" applyNumberFormat="1" applyFont="1" applyFill="1" applyBorder="1" applyAlignment="1"/>
    <xf numFmtId="184" fontId="4" fillId="6" borderId="1" xfId="0" applyNumberFormat="1" applyFont="1" applyFill="1" applyBorder="1" applyAlignment="1"/>
    <xf numFmtId="0" fontId="7" fillId="0" borderId="0" xfId="0" applyFont="1" applyAlignment="1"/>
    <xf numFmtId="0" fontId="9" fillId="0" borderId="1" xfId="0" applyFont="1" applyBorder="1" applyAlignment="1"/>
    <xf numFmtId="0" fontId="4" fillId="4" borderId="1" xfId="0" applyFont="1"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opLeftCell="A3" workbookViewId="0">
      <selection activeCell="C11" sqref="C11"/>
    </sheetView>
  </sheetViews>
  <sheetFormatPr defaultColWidth="14.4285714285714" defaultRowHeight="15" customHeight="1" outlineLevelCol="7"/>
  <cols>
    <col min="1" max="1" width="52" style="1" customWidth="1"/>
    <col min="2" max="2" width="62" style="1" customWidth="1"/>
    <col min="3" max="8" width="15" style="1" customWidth="1"/>
    <col min="9" max="26" width="8.71428571428571" style="1" customWidth="1"/>
  </cols>
  <sheetData>
    <row r="1" ht="24" customHeight="1" spans="1:8">
      <c r="A1" s="2" t="s">
        <v>0</v>
      </c>
      <c r="B1" s="3"/>
      <c r="C1" s="3"/>
      <c r="D1" s="3"/>
      <c r="E1" s="3"/>
      <c r="F1" s="3"/>
      <c r="G1" s="3"/>
      <c r="H1" s="3"/>
    </row>
    <row r="2" spans="1:8">
      <c r="A2" s="4" t="s">
        <v>1</v>
      </c>
    </row>
    <row r="4" spans="1:8">
      <c r="A4" s="41" t="s">
        <v>2</v>
      </c>
    </row>
    <row r="5" spans="1:8">
      <c r="A5" s="6" t="s">
        <v>3</v>
      </c>
      <c r="B5" s="5" t="s">
        <v>4</v>
      </c>
    </row>
    <row r="6" spans="1:8">
      <c r="A6" s="23" t="s">
        <v>5</v>
      </c>
      <c r="B6" s="5" t="s">
        <v>6</v>
      </c>
    </row>
    <row r="7" spans="1:8">
      <c r="A7" s="42" t="s">
        <v>7</v>
      </c>
      <c r="B7" s="5" t="s">
        <v>8</v>
      </c>
    </row>
    <row r="8" spans="1:8">
      <c r="A8" s="43" t="s">
        <v>9</v>
      </c>
      <c r="B8" s="5" t="s">
        <v>10</v>
      </c>
    </row>
    <row r="10" spans="1:8">
      <c r="A10" s="41" t="s">
        <v>11</v>
      </c>
    </row>
    <row r="11" spans="1:8">
      <c r="A11" s="18" t="s">
        <v>12</v>
      </c>
      <c r="B11" s="5" t="s">
        <v>13</v>
      </c>
    </row>
    <row r="12" spans="1:8">
      <c r="A12" s="18" t="s">
        <v>14</v>
      </c>
      <c r="B12" s="5" t="s">
        <v>15</v>
      </c>
    </row>
    <row r="13" spans="1:8">
      <c r="A13" s="18" t="s">
        <v>16</v>
      </c>
      <c r="B13" s="5" t="s">
        <v>17</v>
      </c>
    </row>
    <row r="14" spans="1:8">
      <c r="A14" s="18" t="s">
        <v>18</v>
      </c>
      <c r="B14" s="5" t="s">
        <v>19</v>
      </c>
    </row>
    <row r="15" spans="1:8">
      <c r="A15" s="18" t="s">
        <v>20</v>
      </c>
      <c r="B15" s="5" t="s">
        <v>21</v>
      </c>
    </row>
    <row r="16" spans="1:8">
      <c r="A16" s="18" t="s">
        <v>22</v>
      </c>
      <c r="B16" s="5" t="s">
        <v>23</v>
      </c>
    </row>
    <row r="18" spans="1:1">
      <c r="A18" s="41" t="s">
        <v>24</v>
      </c>
    </row>
    <row r="19" spans="1:1">
      <c r="A19" s="5" t="s">
        <v>25</v>
      </c>
    </row>
    <row r="20" spans="1:1">
      <c r="A20" s="5" t="s">
        <v>26</v>
      </c>
    </row>
    <row r="21" ht="15.75" customHeight="1" spans="1:1">
      <c r="A21" s="5" t="s">
        <v>27</v>
      </c>
    </row>
    <row r="22" ht="15.75" customHeight="1"/>
    <row r="23" ht="15.75" customHeight="1" spans="1:1">
      <c r="A23" s="4" t="s">
        <v>28</v>
      </c>
    </row>
    <row r="24" ht="15.75" customHeight="1" spans="1:1">
      <c r="A24" s="4" t="s">
        <v>29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opLeftCell="A61" workbookViewId="0">
      <selection activeCell="C81" sqref="C81"/>
    </sheetView>
  </sheetViews>
  <sheetFormatPr defaultColWidth="14.4285714285714" defaultRowHeight="15" customHeight="1" outlineLevelCol="7"/>
  <cols>
    <col min="1" max="1" width="46" style="1" customWidth="1"/>
    <col min="2" max="3" width="16" style="1" customWidth="1"/>
    <col min="4" max="4" width="52" style="1" customWidth="1"/>
    <col min="5" max="8" width="15" style="1" customWidth="1"/>
    <col min="9" max="26" width="8.71428571428571" style="1" customWidth="1"/>
  </cols>
  <sheetData>
    <row r="1" ht="24" customHeight="1" spans="1:8">
      <c r="A1" s="2" t="s">
        <v>30</v>
      </c>
      <c r="B1" s="3"/>
      <c r="C1" s="3"/>
      <c r="D1" s="3"/>
      <c r="E1" s="3"/>
      <c r="F1" s="3"/>
      <c r="G1" s="3"/>
      <c r="H1" s="3"/>
    </row>
    <row r="2" spans="1:8">
      <c r="A2" s="4" t="s">
        <v>31</v>
      </c>
    </row>
    <row r="4" spans="1:8">
      <c r="A4" s="10" t="s">
        <v>32</v>
      </c>
      <c r="B4" s="11"/>
      <c r="C4" s="11"/>
      <c r="D4" s="11"/>
      <c r="E4" s="11"/>
      <c r="F4" s="11"/>
      <c r="G4" s="11"/>
      <c r="H4" s="11"/>
    </row>
    <row r="5" spans="1:8">
      <c r="A5" s="5" t="s">
        <v>33</v>
      </c>
      <c r="B5" s="6" t="s">
        <v>34</v>
      </c>
      <c r="D5" s="4" t="s">
        <v>35</v>
      </c>
    </row>
    <row r="6" spans="1:8">
      <c r="A6" s="5" t="s">
        <v>36</v>
      </c>
      <c r="B6" s="16" t="s">
        <v>37</v>
      </c>
      <c r="D6" s="4" t="s">
        <v>38</v>
      </c>
    </row>
    <row r="8" spans="1:8">
      <c r="A8" s="10" t="s">
        <v>39</v>
      </c>
      <c r="B8" s="11"/>
      <c r="C8" s="11"/>
      <c r="D8" s="11"/>
      <c r="E8" s="11"/>
      <c r="F8" s="11"/>
      <c r="G8" s="11"/>
      <c r="H8" s="11"/>
    </row>
    <row r="9" spans="1:8">
      <c r="A9" s="5" t="s">
        <v>40</v>
      </c>
      <c r="B9" s="21">
        <v>1000</v>
      </c>
      <c r="C9" s="4" t="s">
        <v>41</v>
      </c>
    </row>
    <row r="10" spans="1:8">
      <c r="A10" s="5" t="s">
        <v>42</v>
      </c>
      <c r="B10" s="24">
        <v>0.82</v>
      </c>
      <c r="D10" s="4" t="s">
        <v>43</v>
      </c>
    </row>
    <row r="11" spans="1:8">
      <c r="A11" s="5" t="s">
        <v>44</v>
      </c>
      <c r="B11" s="17">
        <f>B9*B10</f>
        <v>820</v>
      </c>
      <c r="C11" s="4" t="s">
        <v>41</v>
      </c>
      <c r="D11" s="4" t="s">
        <v>45</v>
      </c>
    </row>
    <row r="12" spans="1:8">
      <c r="A12" s="5" t="s">
        <v>46</v>
      </c>
      <c r="B12" s="17">
        <f>B9-B11</f>
        <v>180</v>
      </c>
      <c r="C12" s="4" t="s">
        <v>41</v>
      </c>
      <c r="D12" s="4" t="s">
        <v>47</v>
      </c>
    </row>
    <row r="14" spans="1:8">
      <c r="A14" s="10" t="s">
        <v>48</v>
      </c>
      <c r="B14" s="11"/>
      <c r="C14" s="11"/>
      <c r="D14" s="11"/>
      <c r="E14" s="11"/>
      <c r="F14" s="11"/>
      <c r="G14" s="11"/>
      <c r="H14" s="11"/>
    </row>
    <row r="15" spans="1:8">
      <c r="A15" s="5" t="s">
        <v>49</v>
      </c>
      <c r="B15" s="37">
        <v>1</v>
      </c>
      <c r="D15" s="4" t="s">
        <v>50</v>
      </c>
    </row>
    <row r="16" spans="1:8">
      <c r="A16" s="5" t="s">
        <v>51</v>
      </c>
      <c r="B16" s="37">
        <v>5</v>
      </c>
    </row>
    <row r="17" spans="1:4">
      <c r="A17" s="5" t="s">
        <v>52</v>
      </c>
      <c r="B17" s="37">
        <v>1.25</v>
      </c>
      <c r="D17" s="4" t="s">
        <v>53</v>
      </c>
    </row>
    <row r="18" spans="1:4">
      <c r="A18" s="5" t="s">
        <v>54</v>
      </c>
      <c r="B18" s="37">
        <v>0.1</v>
      </c>
      <c r="D18" s="4" t="s">
        <v>55</v>
      </c>
    </row>
    <row r="19" spans="1:4">
      <c r="A19" s="5" t="s">
        <v>56</v>
      </c>
      <c r="B19" s="21">
        <v>3</v>
      </c>
      <c r="C19" s="4" t="s">
        <v>57</v>
      </c>
    </row>
    <row r="20" spans="1:4">
      <c r="A20" s="5" t="s">
        <v>58</v>
      </c>
      <c r="B20" s="21">
        <v>6000</v>
      </c>
      <c r="C20" s="4" t="s">
        <v>59</v>
      </c>
      <c r="D20" s="4" t="s">
        <v>60</v>
      </c>
    </row>
    <row r="21" ht="15.75" customHeight="1" spans="1:4">
      <c r="A21" s="5" t="s">
        <v>61</v>
      </c>
      <c r="B21" s="21">
        <v>1500</v>
      </c>
      <c r="C21" s="4" t="s">
        <v>59</v>
      </c>
      <c r="D21" s="4" t="s">
        <v>62</v>
      </c>
    </row>
    <row r="22" ht="15.75" customHeight="1" spans="1:4">
      <c r="A22" s="5" t="s">
        <v>63</v>
      </c>
      <c r="B22" s="21">
        <v>700</v>
      </c>
      <c r="C22" s="4" t="s">
        <v>59</v>
      </c>
    </row>
    <row r="23" ht="15.75" customHeight="1" spans="1:4">
      <c r="A23" s="5" t="s">
        <v>64</v>
      </c>
      <c r="B23" s="31">
        <f>B20*B17/1000000</f>
        <v>0.0075</v>
      </c>
    </row>
    <row r="24" ht="15.75" customHeight="1" spans="1:4">
      <c r="A24" s="5" t="s">
        <v>65</v>
      </c>
      <c r="B24" s="31">
        <f>(B19-1)*B20*B18/1000000</f>
        <v>0.0012</v>
      </c>
    </row>
    <row r="25" ht="15.75" customHeight="1" spans="1:4">
      <c r="A25" s="5" t="s">
        <v>66</v>
      </c>
      <c r="B25" s="31">
        <f>B19*B21*B15/1000000</f>
        <v>0.0045</v>
      </c>
    </row>
    <row r="26" ht="15.75" customHeight="1" spans="1:4">
      <c r="A26" s="5" t="s">
        <v>67</v>
      </c>
      <c r="B26" s="31">
        <f>B19*B22*B16/1000000</f>
        <v>0.0105</v>
      </c>
    </row>
    <row r="27" ht="15.75" customHeight="1" spans="1:4">
      <c r="A27" s="18" t="s">
        <v>68</v>
      </c>
      <c r="B27" s="30">
        <f>SUM(B23:B26)</f>
        <v>0.0237</v>
      </c>
    </row>
    <row r="28" ht="15.75" customHeight="1" spans="1:4">
      <c r="A28" s="5" t="s">
        <v>69</v>
      </c>
      <c r="B28" s="31">
        <f>B19*(B20+B21)*B15/1000000+B26</f>
        <v>0.033</v>
      </c>
    </row>
    <row r="29" ht="15.75" customHeight="1" spans="1:4">
      <c r="A29" s="5" t="s">
        <v>70</v>
      </c>
      <c r="B29" s="36">
        <f>IF(B28=0,0,1-B27/B28)</f>
        <v>0.281818181818182</v>
      </c>
      <c r="D29" s="4" t="s">
        <v>71</v>
      </c>
    </row>
    <row r="30" ht="15.75" customHeight="1" spans="1:4">
      <c r="A30" s="5" t="s">
        <v>72</v>
      </c>
      <c r="B30" s="21">
        <v>0</v>
      </c>
      <c r="D30" s="4" t="s">
        <v>73</v>
      </c>
    </row>
    <row r="31" ht="15.75" customHeight="1" spans="1:4">
      <c r="A31" s="18" t="s">
        <v>74</v>
      </c>
      <c r="B31" s="30">
        <f>B27*(1-B30*0.5)</f>
        <v>0.0237</v>
      </c>
    </row>
    <row r="32" ht="15.75" customHeight="1"/>
    <row r="33" ht="15.75" customHeight="1" spans="1:8">
      <c r="A33" s="10" t="s">
        <v>75</v>
      </c>
      <c r="B33" s="11"/>
      <c r="C33" s="11"/>
      <c r="D33" s="11"/>
      <c r="E33" s="11"/>
      <c r="F33" s="11"/>
      <c r="G33" s="11"/>
      <c r="H33" s="11"/>
    </row>
    <row r="34" ht="15.75" customHeight="1" spans="1:8">
      <c r="A34" s="5" t="s">
        <v>76</v>
      </c>
      <c r="B34" s="32">
        <v>0</v>
      </c>
      <c r="D34" s="4" t="s">
        <v>77</v>
      </c>
    </row>
    <row r="35" ht="15.75" customHeight="1" spans="1:8">
      <c r="A35" s="5" t="s">
        <v>78</v>
      </c>
      <c r="B35" s="29">
        <v>0</v>
      </c>
      <c r="C35" s="4" t="s">
        <v>79</v>
      </c>
    </row>
    <row r="36" ht="15.75" customHeight="1" spans="1:8">
      <c r="A36" s="5" t="s">
        <v>80</v>
      </c>
      <c r="B36" s="37">
        <v>0</v>
      </c>
      <c r="D36" s="4" t="s">
        <v>81</v>
      </c>
    </row>
    <row r="37" ht="15.75" customHeight="1" spans="1:8">
      <c r="A37" s="5" t="s">
        <v>82</v>
      </c>
      <c r="B37" s="21">
        <v>0</v>
      </c>
      <c r="C37" s="4" t="s">
        <v>83</v>
      </c>
      <c r="D37" s="4" t="s">
        <v>84</v>
      </c>
    </row>
    <row r="38" ht="15.75" customHeight="1" spans="1:8">
      <c r="A38" s="5" t="s">
        <v>85</v>
      </c>
      <c r="B38" s="31">
        <f>B34*B35+B36*B37/1000000</f>
        <v>0</v>
      </c>
    </row>
    <row r="39" ht="15.75" customHeight="1"/>
    <row r="40" ht="15.75" customHeight="1" spans="1:8">
      <c r="A40" s="10" t="s">
        <v>86</v>
      </c>
      <c r="B40" s="11"/>
      <c r="C40" s="11"/>
      <c r="D40" s="11"/>
      <c r="E40" s="11"/>
      <c r="F40" s="11"/>
      <c r="G40" s="11"/>
      <c r="H40" s="11"/>
    </row>
    <row r="41" ht="15.75" customHeight="1" spans="1:8">
      <c r="A41" s="5" t="s">
        <v>87</v>
      </c>
      <c r="B41" s="32">
        <v>0.02</v>
      </c>
      <c r="D41" s="4" t="s">
        <v>88</v>
      </c>
    </row>
    <row r="42" ht="15.75" customHeight="1" spans="1:8">
      <c r="A42" s="5" t="s">
        <v>89</v>
      </c>
      <c r="B42" s="32">
        <v>0</v>
      </c>
    </row>
    <row r="43" ht="15.75" customHeight="1" spans="1:8">
      <c r="A43" s="5" t="s">
        <v>90</v>
      </c>
      <c r="B43" s="31">
        <f>B41+B42*B35</f>
        <v>0.02</v>
      </c>
    </row>
    <row r="44" ht="15.75" customHeight="1"/>
    <row r="45" ht="15.75" customHeight="1" spans="1:8">
      <c r="A45" s="10" t="s">
        <v>91</v>
      </c>
      <c r="B45" s="11"/>
      <c r="C45" s="11"/>
      <c r="D45" s="11"/>
      <c r="E45" s="11"/>
      <c r="F45" s="11"/>
      <c r="G45" s="11"/>
      <c r="H45" s="11"/>
    </row>
    <row r="46" ht="15.75" customHeight="1" spans="1:8">
      <c r="A46" s="5" t="s">
        <v>92</v>
      </c>
      <c r="B46" s="24">
        <v>0.08</v>
      </c>
      <c r="D46" s="4" t="s">
        <v>93</v>
      </c>
    </row>
    <row r="47" ht="15.75" customHeight="1" spans="1:8">
      <c r="A47" s="5" t="s">
        <v>94</v>
      </c>
      <c r="B47" s="31">
        <f>(B31+B38)*B46</f>
        <v>0.001896</v>
      </c>
    </row>
    <row r="48" ht="15.75" customHeight="1"/>
    <row r="49" ht="15.75" customHeight="1" spans="1:8">
      <c r="A49" s="10" t="s">
        <v>95</v>
      </c>
      <c r="B49" s="11"/>
      <c r="C49" s="11"/>
      <c r="D49" s="11"/>
      <c r="E49" s="11"/>
      <c r="F49" s="11"/>
      <c r="G49" s="11"/>
      <c r="H49" s="11"/>
    </row>
    <row r="50" ht="15.75" customHeight="1" spans="1:8">
      <c r="A50" s="5" t="s">
        <v>96</v>
      </c>
      <c r="B50" s="37">
        <v>9</v>
      </c>
      <c r="D50" s="4" t="s">
        <v>97</v>
      </c>
    </row>
    <row r="51" ht="15.75" customHeight="1" spans="1:8">
      <c r="A51" s="5" t="s">
        <v>98</v>
      </c>
      <c r="B51" s="24">
        <v>0.05</v>
      </c>
      <c r="D51" s="4" t="s">
        <v>99</v>
      </c>
    </row>
    <row r="52" ht="15.75" customHeight="1" spans="1:8">
      <c r="A52" s="5" t="s">
        <v>100</v>
      </c>
      <c r="B52" s="29">
        <v>2</v>
      </c>
      <c r="C52" s="4" t="s">
        <v>79</v>
      </c>
    </row>
    <row r="53" ht="15.75" customHeight="1" spans="1:8">
      <c r="A53" s="5" t="s">
        <v>101</v>
      </c>
      <c r="B53" s="29">
        <v>6</v>
      </c>
      <c r="C53" s="4" t="s">
        <v>79</v>
      </c>
    </row>
    <row r="54" ht="15.75" customHeight="1" spans="1:8">
      <c r="A54" s="5" t="s">
        <v>102</v>
      </c>
      <c r="B54" s="38">
        <f>B9*B51*(B52/60)*B50</f>
        <v>15</v>
      </c>
    </row>
    <row r="55" ht="15.75" customHeight="1" spans="1:8">
      <c r="A55" s="5" t="s">
        <v>103</v>
      </c>
      <c r="B55" s="38">
        <f>IF(B6="B",B12*(B53/60)*B50,0)</f>
        <v>162</v>
      </c>
      <c r="D55" s="4" t="s">
        <v>104</v>
      </c>
    </row>
    <row r="56" ht="15.75" customHeight="1" spans="1:8">
      <c r="A56" s="18" t="s">
        <v>105</v>
      </c>
      <c r="B56" s="39">
        <f>B54+B55</f>
        <v>177</v>
      </c>
    </row>
    <row r="57" ht="15.75" customHeight="1"/>
    <row r="58" ht="15.75" customHeight="1" spans="1:8">
      <c r="A58" s="10" t="s">
        <v>106</v>
      </c>
      <c r="B58" s="11"/>
      <c r="C58" s="11"/>
      <c r="D58" s="11"/>
      <c r="E58" s="11"/>
      <c r="F58" s="11"/>
      <c r="G58" s="11"/>
      <c r="H58" s="11"/>
    </row>
    <row r="59" ht="15.75" customHeight="1" spans="1:8">
      <c r="A59" s="5" t="s">
        <v>107</v>
      </c>
      <c r="B59" s="37">
        <v>0</v>
      </c>
      <c r="D59" s="4" t="s">
        <v>108</v>
      </c>
    </row>
    <row r="60" ht="15.75" customHeight="1"/>
    <row r="61" ht="15.75" customHeight="1" spans="1:8">
      <c r="A61" s="10" t="s">
        <v>109</v>
      </c>
      <c r="B61" s="11"/>
      <c r="C61" s="11"/>
      <c r="D61" s="11"/>
      <c r="E61" s="11"/>
      <c r="F61" s="11"/>
      <c r="G61" s="11"/>
      <c r="H61" s="11"/>
    </row>
    <row r="62" ht="15.75" customHeight="1" spans="1:8">
      <c r="A62" s="5" t="s">
        <v>110</v>
      </c>
      <c r="B62" s="38">
        <f>B9*(B31+B38+B43+B47)</f>
        <v>45.596</v>
      </c>
    </row>
    <row r="63" ht="15.75" customHeight="1" spans="1:8">
      <c r="A63" s="5" t="s">
        <v>111</v>
      </c>
      <c r="B63" s="38">
        <f>B56</f>
        <v>177</v>
      </c>
    </row>
    <row r="64" ht="15.75" customHeight="1" spans="1:8">
      <c r="A64" s="5" t="s">
        <v>112</v>
      </c>
      <c r="B64" s="38">
        <f>B59</f>
        <v>0</v>
      </c>
    </row>
    <row r="65" ht="15.75" customHeight="1" spans="1:8">
      <c r="A65" s="5" t="s">
        <v>113</v>
      </c>
      <c r="B65" s="38">
        <f>B62+B63+B64</f>
        <v>222.596</v>
      </c>
    </row>
    <row r="66" ht="15.75" customHeight="1" spans="1:8">
      <c r="A66" s="18" t="s">
        <v>114</v>
      </c>
      <c r="B66" s="30">
        <f>IF(B11=0,0,(B62+B63)/B11)</f>
        <v>0.271458536585366</v>
      </c>
      <c r="C66" s="4" t="s">
        <v>115</v>
      </c>
      <c r="D66" s="4" t="s">
        <v>116</v>
      </c>
    </row>
    <row r="67" ht="15.75" customHeight="1" spans="1:8">
      <c r="A67" s="18" t="s">
        <v>117</v>
      </c>
      <c r="B67" s="30">
        <f>IF(B11=0,0,B65/B11)</f>
        <v>0.271458536585366</v>
      </c>
      <c r="C67" s="4" t="s">
        <v>115</v>
      </c>
    </row>
    <row r="68" ht="15.75" customHeight="1" spans="1:8">
      <c r="A68" s="5" t="s">
        <v>118</v>
      </c>
      <c r="B68" s="21">
        <v>26000</v>
      </c>
      <c r="C68" s="4" t="s">
        <v>119</v>
      </c>
      <c r="D68" s="4" t="s">
        <v>120</v>
      </c>
    </row>
    <row r="69" ht="15.75" customHeight="1" spans="1:8">
      <c r="A69" s="5" t="s">
        <v>121</v>
      </c>
      <c r="B69" s="40">
        <f>B66*B68</f>
        <v>7057.92195121951</v>
      </c>
      <c r="C69" s="4" t="s">
        <v>122</v>
      </c>
    </row>
    <row r="70" ht="15.75" customHeight="1"/>
    <row r="71" ht="15.75" customHeight="1" spans="1:8">
      <c r="A71" s="10" t="s">
        <v>123</v>
      </c>
      <c r="B71" s="11"/>
      <c r="C71" s="11"/>
      <c r="D71" s="11"/>
      <c r="E71" s="11"/>
      <c r="F71" s="11"/>
      <c r="G71" s="11"/>
      <c r="H71" s="11"/>
    </row>
    <row r="72" ht="15.75" customHeight="1" spans="1:8">
      <c r="A72" s="5" t="s">
        <v>124</v>
      </c>
      <c r="B72" s="38">
        <f>B9*B31</f>
        <v>23.7</v>
      </c>
      <c r="C72" s="36">
        <f t="shared" ref="C72:C77" si="0">IF($B$65=0,0,B72/$B$65)</f>
        <v>0.106470915919424</v>
      </c>
    </row>
    <row r="73" ht="15.75" customHeight="1" spans="1:8">
      <c r="A73" s="5" t="s">
        <v>125</v>
      </c>
      <c r="B73" s="38">
        <f>B9*B38</f>
        <v>0</v>
      </c>
      <c r="C73" s="36">
        <f t="shared" si="0"/>
        <v>0</v>
      </c>
    </row>
    <row r="74" ht="15.75" customHeight="1" spans="1:8">
      <c r="A74" s="5" t="s">
        <v>126</v>
      </c>
      <c r="B74" s="38">
        <f>B9*B43</f>
        <v>20</v>
      </c>
      <c r="C74" s="36">
        <f t="shared" si="0"/>
        <v>0.0898488741936063</v>
      </c>
    </row>
    <row r="75" ht="15.75" customHeight="1" spans="1:8">
      <c r="A75" s="5" t="s">
        <v>127</v>
      </c>
      <c r="B75" s="38">
        <f>B9*B47</f>
        <v>1.896</v>
      </c>
      <c r="C75" s="36">
        <f t="shared" si="0"/>
        <v>0.00851767327355388</v>
      </c>
    </row>
    <row r="76" ht="15.75" customHeight="1" spans="1:8">
      <c r="A76" s="5" t="s">
        <v>128</v>
      </c>
      <c r="B76" s="38">
        <f>B56</f>
        <v>177</v>
      </c>
      <c r="C76" s="36">
        <f t="shared" si="0"/>
        <v>0.795162536613416</v>
      </c>
    </row>
    <row r="77" ht="15.75" customHeight="1" spans="1:8">
      <c r="A77" s="5" t="s">
        <v>129</v>
      </c>
      <c r="B77" s="38">
        <f>B59</f>
        <v>0</v>
      </c>
      <c r="C77" s="36">
        <f t="shared" si="0"/>
        <v>0</v>
      </c>
    </row>
    <row r="78" ht="15.75" customHeight="1" spans="1:8">
      <c r="A78" s="4" t="s">
        <v>130</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qref="B6">
      <formula1>"A,B"</formula1>
    </dataValidation>
  </dataValidations>
  <pageMargins left="0.75" right="0.75" top="1" bottom="1" header="0" footer="0"/>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4.4285714285714" defaultRowHeight="15" customHeight="1" outlineLevelCol="7"/>
  <cols>
    <col min="1" max="1" width="46" style="1" customWidth="1"/>
    <col min="2" max="3" width="16" style="1" customWidth="1"/>
    <col min="4" max="4" width="54" style="1" customWidth="1"/>
    <col min="5" max="8" width="15" style="1" customWidth="1"/>
    <col min="9" max="26" width="8.71428571428571" style="1" customWidth="1"/>
  </cols>
  <sheetData>
    <row r="1" ht="24" customHeight="1" spans="1:8">
      <c r="A1" s="2" t="s">
        <v>131</v>
      </c>
      <c r="B1" s="3"/>
      <c r="C1" s="3"/>
      <c r="D1" s="3"/>
      <c r="E1" s="3"/>
      <c r="F1" s="3"/>
      <c r="G1" s="3"/>
      <c r="H1" s="3"/>
    </row>
    <row r="2" spans="1:8">
      <c r="A2" s="4" t="s">
        <v>132</v>
      </c>
    </row>
    <row r="4" spans="1:8">
      <c r="A4" s="10" t="s">
        <v>133</v>
      </c>
      <c r="B4" s="11"/>
      <c r="C4" s="11"/>
      <c r="D4" s="11"/>
      <c r="E4" s="11"/>
      <c r="F4" s="11"/>
      <c r="G4" s="11"/>
      <c r="H4" s="11"/>
    </row>
    <row r="5" spans="1:8">
      <c r="A5" s="5" t="s">
        <v>134</v>
      </c>
      <c r="B5" s="28">
        <f>'1_Cost_Job'!B66</f>
        <v>0.271458536585366</v>
      </c>
      <c r="C5" s="4" t="s">
        <v>115</v>
      </c>
    </row>
    <row r="6" spans="1:8">
      <c r="A6" s="5" t="s">
        <v>135</v>
      </c>
      <c r="B6" s="29">
        <v>3</v>
      </c>
      <c r="C6" s="4" t="s">
        <v>136</v>
      </c>
      <c r="D6" s="4" t="s">
        <v>137</v>
      </c>
    </row>
    <row r="7" spans="1:8">
      <c r="A7" s="18" t="s">
        <v>138</v>
      </c>
      <c r="B7" s="30">
        <f>B5*B6</f>
        <v>0.814375609756097</v>
      </c>
      <c r="C7" s="4" t="s">
        <v>115</v>
      </c>
    </row>
    <row r="9" spans="1:8">
      <c r="A9" s="10" t="s">
        <v>139</v>
      </c>
      <c r="B9" s="11"/>
      <c r="C9" s="11"/>
      <c r="D9" s="11"/>
      <c r="E9" s="11"/>
      <c r="F9" s="11"/>
      <c r="G9" s="11"/>
      <c r="H9" s="11"/>
    </row>
    <row r="10" spans="1:8">
      <c r="A10" s="5" t="s">
        <v>140</v>
      </c>
      <c r="B10" s="14">
        <v>4000</v>
      </c>
      <c r="D10" s="4" t="s">
        <v>141</v>
      </c>
    </row>
    <row r="11" spans="1:8">
      <c r="A11" s="5" t="s">
        <v>142</v>
      </c>
      <c r="B11" s="21">
        <v>1000</v>
      </c>
      <c r="C11" s="4" t="s">
        <v>41</v>
      </c>
    </row>
    <row r="12" spans="1:8">
      <c r="A12" s="5" t="s">
        <v>143</v>
      </c>
      <c r="B12" s="31">
        <f>IF(B11=0,0,B10*0.1/B11)</f>
        <v>0.4</v>
      </c>
      <c r="C12" s="4" t="s">
        <v>115</v>
      </c>
    </row>
    <row r="13" spans="1:8">
      <c r="A13" s="5" t="s">
        <v>144</v>
      </c>
      <c r="B13" s="31">
        <f>IF(B11=0,0,B10*0.25/B11)</f>
        <v>1</v>
      </c>
      <c r="C13" s="4" t="s">
        <v>115</v>
      </c>
    </row>
    <row r="14" spans="1:8">
      <c r="A14" s="5" t="s">
        <v>145</v>
      </c>
      <c r="B14" s="14">
        <v>1500</v>
      </c>
      <c r="D14" s="4" t="s">
        <v>146</v>
      </c>
    </row>
    <row r="15" spans="1:8">
      <c r="A15" s="5" t="s">
        <v>147</v>
      </c>
      <c r="B15" s="31">
        <f>IF(B11=0,0,B14*0.5/B11)</f>
        <v>0.75</v>
      </c>
      <c r="C15" s="4" t="s">
        <v>115</v>
      </c>
    </row>
    <row r="16" spans="1:8">
      <c r="A16" s="5" t="s">
        <v>148</v>
      </c>
      <c r="B16" s="31">
        <f>IF(B11=0,0,B14*0.7/B11)</f>
        <v>1.05</v>
      </c>
      <c r="C16" s="4" t="s">
        <v>115</v>
      </c>
    </row>
    <row r="18" spans="1:8">
      <c r="A18" s="10" t="s">
        <v>149</v>
      </c>
      <c r="B18" s="11"/>
      <c r="C18" s="11"/>
      <c r="D18" s="11"/>
      <c r="E18" s="11"/>
      <c r="F18" s="11"/>
      <c r="G18" s="11"/>
      <c r="H18" s="11"/>
    </row>
    <row r="19" spans="1:8">
      <c r="A19" s="5" t="s">
        <v>150</v>
      </c>
      <c r="B19" s="32">
        <v>0.99</v>
      </c>
      <c r="C19" s="4" t="s">
        <v>115</v>
      </c>
      <c r="D19" s="4" t="s">
        <v>151</v>
      </c>
    </row>
    <row r="20" spans="1:8">
      <c r="A20" s="5" t="s">
        <v>152</v>
      </c>
      <c r="B20" s="33">
        <f>IF(B5=0,0,B19/B5)</f>
        <v>3.64696580351848</v>
      </c>
    </row>
    <row r="21" ht="15.75" customHeight="1" spans="1:8">
      <c r="A21" s="18" t="s">
        <v>153</v>
      </c>
      <c r="B21" s="34">
        <f>IF(B19=0,0,(B19-B5)/B19)</f>
        <v>0.72579945799458</v>
      </c>
    </row>
    <row r="22" ht="15.75" customHeight="1" spans="1:8">
      <c r="A22" s="5" t="s">
        <v>154</v>
      </c>
      <c r="B22" s="23" t="str">
        <f>IF(B20&gt;=B6,"OK — ĐẠT","KHÔNG ĐẠT — quay lại tab 1")</f>
        <v>OK — ĐẠT</v>
      </c>
    </row>
    <row r="23" ht="15.75" customHeight="1" spans="1:8">
      <c r="A23" s="5" t="s">
        <v>155</v>
      </c>
      <c r="B23" s="23" t="str">
        <f>IF(B21&gt;=0.6,"OK — AN TOÀN (≥60%)",IF(B21&gt;=0.5,"CẢNH BÁO (50–60%)","NGUY HIỂM (&lt;50%)"))</f>
        <v>OK — AN TOÀN (≥60%)</v>
      </c>
    </row>
    <row r="24" ht="15.75" customHeight="1" spans="1:8">
      <c r="A24" s="5" t="s">
        <v>156</v>
      </c>
      <c r="B24" s="23" t="str">
        <f>IF(B21&gt;0.85,"NGHI NGỜ — nhiều khả năng bạn quên một khoản chi phí","OK")</f>
        <v>OK</v>
      </c>
    </row>
    <row r="25" ht="15.75" customHeight="1" spans="1:8">
      <c r="A25" s="5" t="s">
        <v>157</v>
      </c>
      <c r="B25" s="23" t="str">
        <f>IF(AND(B19&gt;=B7,B19&lt;=MAX(B13,B16)),"OK — trong vùng giá bán","XEM LẠI — ngoài vùng giá sàn/trần")</f>
        <v>OK — trong vùng giá bán</v>
      </c>
    </row>
    <row r="26" ht="15.75" customHeight="1"/>
    <row r="27" ht="15.75" customHeight="1" spans="1:8">
      <c r="A27" s="10" t="s">
        <v>158</v>
      </c>
      <c r="B27" s="11"/>
      <c r="C27" s="11"/>
      <c r="D27" s="11"/>
      <c r="E27" s="11"/>
      <c r="F27" s="11"/>
      <c r="G27" s="11"/>
      <c r="H27" s="11"/>
    </row>
    <row r="28" ht="15.75" customHeight="1" spans="1:8">
      <c r="A28" s="4" t="s">
        <v>159</v>
      </c>
    </row>
    <row r="29" ht="15.75" customHeight="1" spans="1:8">
      <c r="A29" s="5" t="s">
        <v>160</v>
      </c>
      <c r="B29" s="28">
        <f>'1_Cost_Job'!B31+'1_Cost_Job'!B38+'1_Cost_Job'!B43+'1_Cost_Job'!B47</f>
        <v>0.045596</v>
      </c>
    </row>
    <row r="30" ht="15.75" customHeight="1" spans="1:8">
      <c r="A30" s="5" t="s">
        <v>161</v>
      </c>
      <c r="B30" s="28">
        <f>'1_Cost_Job'!B51*('1_Cost_Job'!B52/60)*'1_Cost_Job'!B50</f>
        <v>0.015</v>
      </c>
    </row>
    <row r="31" ht="15.75" customHeight="1" spans="1:8">
      <c r="A31" s="5" t="s">
        <v>162</v>
      </c>
      <c r="B31" s="28">
        <f>IF('1_Cost_Job'!B6="B",('1_Cost_Job'!B53/60)*'1_Cost_Job'!B50,0)</f>
        <v>0.9</v>
      </c>
    </row>
    <row r="32" ht="15.75" customHeight="1" spans="1:8">
      <c r="A32" s="5" t="s">
        <v>163</v>
      </c>
      <c r="B32" s="24">
        <v>0.6</v>
      </c>
    </row>
    <row r="33" ht="15.75" customHeight="1" spans="1:8">
      <c r="A33" s="18" t="s">
        <v>164</v>
      </c>
      <c r="B33" s="34">
        <f>IF((B19*(1-B32)+B31)=0,0,(B29+B30+B31)/(B19*(1-B32)+B31))</f>
        <v>0.741200617283951</v>
      </c>
      <c r="D33" s="4" t="s">
        <v>165</v>
      </c>
    </row>
    <row r="34" ht="15.75" customHeight="1" spans="1:8">
      <c r="A34" s="5" t="s">
        <v>166</v>
      </c>
      <c r="B34" s="15">
        <f>'1_Cost_Job'!B10</f>
        <v>0.82</v>
      </c>
    </row>
    <row r="35" ht="15.75" customHeight="1" spans="1:8">
      <c r="A35" s="5" t="s">
        <v>167</v>
      </c>
      <c r="B35" s="23" t="str">
        <f>IF(B34&gt;=B33,"ĐẠT — mô hình có lãi lành mạnh","CHƯA ĐẠT — phải tăng containment, tăng giá, hoặc đổi biến thể HITL")</f>
        <v>ĐẠT — mô hình có lãi lành mạnh</v>
      </c>
    </row>
    <row r="36" ht="15.75" customHeight="1"/>
    <row r="37" ht="15.75" customHeight="1" spans="1:8">
      <c r="A37" s="10" t="s">
        <v>168</v>
      </c>
      <c r="B37" s="11"/>
      <c r="C37" s="11"/>
      <c r="D37" s="11"/>
      <c r="E37" s="11"/>
      <c r="F37" s="11"/>
      <c r="G37" s="11"/>
      <c r="H37" s="11"/>
    </row>
    <row r="38" ht="15.75" customHeight="1" spans="1:8">
      <c r="A38" s="12" t="s">
        <v>169</v>
      </c>
      <c r="B38" s="12" t="s">
        <v>170</v>
      </c>
      <c r="C38" s="12" t="s">
        <v>171</v>
      </c>
      <c r="D38" s="12" t="s">
        <v>172</v>
      </c>
    </row>
    <row r="39" ht="15.75" customHeight="1" spans="1:8">
      <c r="A39" s="35">
        <v>0.5</v>
      </c>
      <c r="B39" s="31">
        <f t="shared" ref="B39:B44" si="0">($B$29+$B$30+$B$31*(1-A39))/A39</f>
        <v>1.021192</v>
      </c>
      <c r="C39" s="36">
        <f t="shared" ref="C39:C44" si="1">IF($B$19=0,0,1-B39/$B$19)</f>
        <v>-0.0315070707070708</v>
      </c>
      <c r="D39" s="23" t="str">
        <f t="shared" ref="D39:D44" si="2">IF(C39&gt;=0.6,"An toàn",IF(C39&gt;=0.5,"Cảnh báo","Nguy hiểm"))</f>
        <v>Nguy hiểm</v>
      </c>
    </row>
    <row r="40" ht="15.75" customHeight="1" spans="1:8">
      <c r="A40" s="35">
        <v>0.6</v>
      </c>
      <c r="B40" s="31">
        <f t="shared" si="0"/>
        <v>0.700993333333333</v>
      </c>
      <c r="C40" s="36">
        <f t="shared" si="1"/>
        <v>0.291925925925926</v>
      </c>
      <c r="D40" s="23" t="str">
        <f t="shared" si="2"/>
        <v>Nguy hiểm</v>
      </c>
    </row>
    <row r="41" ht="15.75" customHeight="1" spans="1:8">
      <c r="A41" s="35">
        <v>0.7</v>
      </c>
      <c r="B41" s="31">
        <f t="shared" si="0"/>
        <v>0.47228</v>
      </c>
      <c r="C41" s="36">
        <f t="shared" si="1"/>
        <v>0.522949494949495</v>
      </c>
      <c r="D41" s="23" t="str">
        <f t="shared" si="2"/>
        <v>Cảnh báo</v>
      </c>
    </row>
    <row r="42" ht="15.75" customHeight="1" spans="1:8">
      <c r="A42" s="35">
        <v>0.8</v>
      </c>
      <c r="B42" s="31">
        <f t="shared" si="0"/>
        <v>0.300745</v>
      </c>
      <c r="C42" s="36">
        <f t="shared" si="1"/>
        <v>0.696217171717172</v>
      </c>
      <c r="D42" s="23" t="str">
        <f t="shared" si="2"/>
        <v>An toàn</v>
      </c>
    </row>
    <row r="43" ht="15.75" customHeight="1" spans="1:8">
      <c r="A43" s="35">
        <v>0.9</v>
      </c>
      <c r="B43" s="31">
        <f t="shared" si="0"/>
        <v>0.167328888888889</v>
      </c>
      <c r="C43" s="36">
        <f t="shared" si="1"/>
        <v>0.830980920314254</v>
      </c>
      <c r="D43" s="23" t="str">
        <f t="shared" si="2"/>
        <v>An toàn</v>
      </c>
    </row>
    <row r="44" ht="15.75" customHeight="1" spans="1:8">
      <c r="A44" s="35">
        <v>0.95</v>
      </c>
      <c r="B44" s="31">
        <f t="shared" si="0"/>
        <v>0.111153684210526</v>
      </c>
      <c r="C44" s="36">
        <f t="shared" si="1"/>
        <v>0.887723551302499</v>
      </c>
      <c r="D44" s="23" t="str">
        <f t="shared" si="2"/>
        <v>An toàn</v>
      </c>
    </row>
    <row r="45" ht="15.75" customHeight="1"/>
    <row r="46" ht="15.75" customHeight="1" spans="1:8">
      <c r="A46" s="4" t="s">
        <v>173</v>
      </c>
    </row>
    <row r="47" ht="15.75" customHeight="1"/>
    <row r="48" ht="15.75" customHeight="1" spans="1:8">
      <c r="A48" s="10" t="s">
        <v>174</v>
      </c>
      <c r="B48" s="11"/>
      <c r="C48" s="11"/>
      <c r="D48" s="11"/>
      <c r="E48" s="11"/>
      <c r="F48" s="11"/>
      <c r="G48" s="11"/>
      <c r="H48" s="11"/>
    </row>
    <row r="49" ht="15.75" customHeight="1" spans="1:2">
      <c r="A49" s="18" t="s">
        <v>170</v>
      </c>
      <c r="B49" s="30">
        <f>B5</f>
        <v>0.271458536585366</v>
      </c>
    </row>
    <row r="50" ht="15.75" customHeight="1" spans="1:2">
      <c r="A50" s="18" t="s">
        <v>175</v>
      </c>
      <c r="B50" s="30">
        <f>B7</f>
        <v>0.814375609756097</v>
      </c>
    </row>
    <row r="51" ht="15.75" customHeight="1" spans="1:2">
      <c r="A51" s="18" t="s">
        <v>176</v>
      </c>
      <c r="B51" s="30">
        <f>B19</f>
        <v>0.99</v>
      </c>
    </row>
    <row r="52" ht="15.75" customHeight="1" spans="1:2">
      <c r="A52" s="18" t="s">
        <v>171</v>
      </c>
      <c r="B52" s="34">
        <f>B21</f>
        <v>0.72579945799458</v>
      </c>
    </row>
    <row r="53" ht="15.75" customHeight="1" spans="1:2">
      <c r="A53" s="18" t="s">
        <v>177</v>
      </c>
      <c r="B53" s="34">
        <f>B33</f>
        <v>0.741200617283951</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4.4285714285714" defaultRowHeight="15" customHeight="1" outlineLevelCol="7"/>
  <cols>
    <col min="1" max="1" width="72" style="1" customWidth="1"/>
    <col min="2" max="2" width="12" style="1" customWidth="1"/>
    <col min="3" max="3" width="50" style="1" customWidth="1"/>
    <col min="4" max="4" width="46" style="1" customWidth="1"/>
    <col min="5" max="8" width="15" style="1" customWidth="1"/>
    <col min="9" max="26" width="8.71428571428571" style="1" customWidth="1"/>
  </cols>
  <sheetData>
    <row r="1" ht="24" customHeight="1" spans="1:8">
      <c r="A1" s="2" t="s">
        <v>178</v>
      </c>
      <c r="B1" s="3"/>
      <c r="C1" s="3"/>
      <c r="D1" s="3"/>
      <c r="E1" s="3"/>
      <c r="F1" s="3"/>
      <c r="G1" s="3"/>
      <c r="H1" s="3"/>
    </row>
    <row r="2" spans="1:8">
      <c r="A2" s="4" t="s">
        <v>179</v>
      </c>
    </row>
    <row r="4" spans="1:8">
      <c r="A4" s="10" t="s">
        <v>180</v>
      </c>
      <c r="B4" s="11"/>
      <c r="C4" s="11"/>
      <c r="D4" s="11"/>
      <c r="E4" s="11"/>
      <c r="F4" s="11"/>
      <c r="G4" s="11"/>
      <c r="H4" s="11"/>
    </row>
    <row r="5" spans="1:8">
      <c r="A5" s="5" t="s">
        <v>181</v>
      </c>
      <c r="B5" s="16">
        <v>2</v>
      </c>
    </row>
    <row r="6" spans="1:8">
      <c r="A6" s="5" t="s">
        <v>182</v>
      </c>
      <c r="B6" s="16">
        <v>2</v>
      </c>
    </row>
    <row r="7" spans="1:8">
      <c r="A7" s="5" t="s">
        <v>183</v>
      </c>
      <c r="B7" s="16">
        <v>2</v>
      </c>
    </row>
    <row r="8" spans="1:8">
      <c r="A8" s="5" t="s">
        <v>184</v>
      </c>
      <c r="B8" s="16">
        <v>1</v>
      </c>
    </row>
    <row r="9" spans="1:8">
      <c r="A9" s="5" t="s">
        <v>185</v>
      </c>
      <c r="B9" s="16">
        <v>2</v>
      </c>
    </row>
    <row r="10" spans="1:8">
      <c r="A10" s="18" t="s">
        <v>186</v>
      </c>
      <c r="B10" s="27">
        <f>SUM(B5:B9)</f>
        <v>9</v>
      </c>
    </row>
    <row r="12" spans="1:8">
      <c r="A12" s="10" t="s">
        <v>187</v>
      </c>
      <c r="B12" s="11"/>
      <c r="C12" s="11"/>
      <c r="D12" s="11"/>
      <c r="E12" s="11"/>
      <c r="F12" s="11"/>
      <c r="G12" s="11"/>
      <c r="H12" s="11"/>
    </row>
    <row r="13" spans="1:8">
      <c r="A13" s="5" t="s">
        <v>188</v>
      </c>
      <c r="B13" s="16">
        <v>1</v>
      </c>
    </row>
    <row r="14" spans="1:8">
      <c r="A14" s="5" t="s">
        <v>189</v>
      </c>
      <c r="B14" s="16">
        <v>2</v>
      </c>
    </row>
    <row r="15" spans="1:8">
      <c r="A15" s="5" t="s">
        <v>190</v>
      </c>
      <c r="B15" s="16">
        <v>2</v>
      </c>
    </row>
    <row r="16" spans="1:8">
      <c r="A16" s="5" t="s">
        <v>191</v>
      </c>
      <c r="B16" s="16">
        <v>1</v>
      </c>
    </row>
    <row r="17" spans="1:8">
      <c r="A17" s="5" t="s">
        <v>192</v>
      </c>
      <c r="B17" s="16">
        <v>1</v>
      </c>
    </row>
    <row r="18" spans="1:8">
      <c r="A18" s="18" t="s">
        <v>193</v>
      </c>
      <c r="B18" s="27">
        <f>SUM(B13:B17)</f>
        <v>7</v>
      </c>
    </row>
    <row r="20" spans="1:8">
      <c r="A20" s="10" t="s">
        <v>194</v>
      </c>
      <c r="B20" s="11"/>
      <c r="C20" s="11"/>
      <c r="D20" s="11"/>
      <c r="E20" s="11"/>
      <c r="F20" s="11"/>
      <c r="G20" s="11"/>
      <c r="H20" s="11"/>
    </row>
    <row r="21" ht="15.75" customHeight="1" spans="1:8">
      <c r="A21" s="18" t="s">
        <v>195</v>
      </c>
      <c r="B21" s="26" t="str">
        <f>IF(AND(B10&gt;=7,B18&gt;=7),"OUTCOME",IF(AND(B10&gt;=7,B18&lt;7),"USAGE",IF(AND(B10&lt;7,B18&gt;=7),"USAGE (an toàn)","SEAT hoặc HYBRID")))</f>
        <v>OUTCOME</v>
      </c>
    </row>
    <row r="22" ht="15.75" customHeight="1" spans="1:8">
      <c r="A22" s="4" t="s">
        <v>196</v>
      </c>
    </row>
    <row r="23" ht="15.75" customHeight="1"/>
    <row r="24" ht="15.75" customHeight="1" spans="1:8">
      <c r="A24" s="10" t="s">
        <v>197</v>
      </c>
      <c r="B24" s="11"/>
      <c r="C24" s="11"/>
      <c r="D24" s="11"/>
      <c r="E24" s="11"/>
      <c r="F24" s="11"/>
      <c r="G24" s="11"/>
      <c r="H24" s="11"/>
    </row>
    <row r="25" ht="15.75" customHeight="1" spans="1:8">
      <c r="A25" s="12" t="s">
        <v>198</v>
      </c>
      <c r="B25" s="12" t="s">
        <v>199</v>
      </c>
      <c r="C25" s="12" t="s">
        <v>200</v>
      </c>
      <c r="D25" s="12" t="s">
        <v>201</v>
      </c>
    </row>
    <row r="26" ht="15.75" customHeight="1" spans="1:8">
      <c r="A26" s="6" t="s">
        <v>202</v>
      </c>
      <c r="B26" s="6" t="s">
        <v>203</v>
      </c>
      <c r="C26" s="6" t="s">
        <v>204</v>
      </c>
      <c r="D26" s="6" t="s">
        <v>205</v>
      </c>
    </row>
    <row r="27" ht="15.75" customHeight="1" spans="1:8">
      <c r="A27" s="6" t="s">
        <v>206</v>
      </c>
      <c r="B27" s="6" t="s">
        <v>207</v>
      </c>
      <c r="C27" s="6" t="s">
        <v>208</v>
      </c>
      <c r="D27" s="6" t="s">
        <v>209</v>
      </c>
    </row>
    <row r="28" ht="15.75" customHeight="1"/>
    <row r="29" ht="15.75" customHeight="1" spans="1:8">
      <c r="A29" s="10" t="s">
        <v>210</v>
      </c>
      <c r="B29" s="11"/>
      <c r="C29" s="11"/>
      <c r="D29" s="11"/>
      <c r="E29" s="11"/>
      <c r="F29" s="11"/>
      <c r="G29" s="11"/>
      <c r="H29" s="11"/>
    </row>
    <row r="30" ht="15.75" customHeight="1" spans="1:8">
      <c r="A30" s="5" t="s">
        <v>211</v>
      </c>
      <c r="B30" s="6" t="s">
        <v>212</v>
      </c>
    </row>
    <row r="31" ht="15.75" customHeight="1" spans="1:8">
      <c r="A31" s="5" t="s">
        <v>213</v>
      </c>
      <c r="B31" s="6" t="s">
        <v>214</v>
      </c>
    </row>
    <row r="32" ht="15.75" customHeight="1" spans="1:8">
      <c r="A32" s="5" t="s">
        <v>215</v>
      </c>
      <c r="B32" s="6" t="s">
        <v>216</v>
      </c>
    </row>
    <row r="33" ht="15.75" customHeight="1" spans="1:2">
      <c r="A33" s="5" t="s">
        <v>217</v>
      </c>
      <c r="B33" s="6" t="s">
        <v>218</v>
      </c>
    </row>
    <row r="34" ht="15.75" customHeight="1" spans="1:2">
      <c r="A34" s="5" t="s">
        <v>219</v>
      </c>
      <c r="B34" s="6" t="s">
        <v>220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4.4285714285714" defaultRowHeight="15" customHeight="1" outlineLevelCol="7"/>
  <cols>
    <col min="1" max="1" width="46" style="1" customWidth="1"/>
    <col min="2" max="3" width="16" style="1" customWidth="1"/>
    <col min="4" max="4" width="54" style="1" customWidth="1"/>
    <col min="5" max="8" width="15" style="1" customWidth="1"/>
    <col min="9" max="26" width="8.71428571428571" style="1" customWidth="1"/>
  </cols>
  <sheetData>
    <row r="1" ht="24" customHeight="1" spans="1:8">
      <c r="A1" s="2" t="s">
        <v>221</v>
      </c>
      <c r="B1" s="3"/>
      <c r="C1" s="3"/>
      <c r="D1" s="3"/>
      <c r="E1" s="3"/>
      <c r="F1" s="3"/>
      <c r="G1" s="3"/>
      <c r="H1" s="3"/>
    </row>
    <row r="2" spans="1:8">
      <c r="A2" s="4" t="s">
        <v>222</v>
      </c>
    </row>
    <row r="4" spans="1:8">
      <c r="A4" s="10" t="s">
        <v>223</v>
      </c>
      <c r="B4" s="11"/>
      <c r="C4" s="11"/>
      <c r="D4" s="11"/>
      <c r="E4" s="11"/>
      <c r="F4" s="11"/>
      <c r="G4" s="11"/>
      <c r="H4" s="11"/>
    </row>
    <row r="5" spans="1:8">
      <c r="A5" s="5" t="s">
        <v>224</v>
      </c>
      <c r="B5" s="14">
        <v>200</v>
      </c>
    </row>
    <row r="6" spans="1:8">
      <c r="A6" s="5" t="s">
        <v>225</v>
      </c>
      <c r="B6" s="15">
        <f>'2_Pricing'!B21</f>
        <v>0.72579945799458</v>
      </c>
    </row>
    <row r="7" spans="1:8">
      <c r="A7" s="5" t="s">
        <v>226</v>
      </c>
      <c r="B7" s="16" t="s">
        <v>227</v>
      </c>
    </row>
    <row r="8" spans="1:8">
      <c r="A8" s="5" t="s">
        <v>228</v>
      </c>
      <c r="B8" s="17">
        <f>IF(B7="SMB",12,IF(B7="Mid",18,24))</f>
        <v>12</v>
      </c>
      <c r="C8" s="4" t="s">
        <v>229</v>
      </c>
      <c r="D8" s="4" t="s">
        <v>230</v>
      </c>
    </row>
    <row r="9" spans="1:8">
      <c r="A9" s="18" t="s">
        <v>231</v>
      </c>
      <c r="B9" s="19">
        <f>B5*B6*B8</f>
        <v>1741.91869918699</v>
      </c>
      <c r="D9" s="4" t="s">
        <v>232</v>
      </c>
    </row>
    <row r="10" spans="1:8">
      <c r="A10" s="5" t="s">
        <v>233</v>
      </c>
      <c r="B10" s="20">
        <f>B5*12</f>
        <v>2400</v>
      </c>
    </row>
    <row r="12" spans="1:8">
      <c r="A12" s="10" t="s">
        <v>234</v>
      </c>
      <c r="B12" s="11"/>
      <c r="C12" s="11"/>
      <c r="D12" s="11"/>
      <c r="E12" s="11"/>
      <c r="F12" s="11"/>
      <c r="G12" s="11"/>
      <c r="H12" s="11"/>
    </row>
    <row r="13" spans="1:8">
      <c r="A13" s="5" t="s">
        <v>235</v>
      </c>
      <c r="B13" s="14">
        <v>500000</v>
      </c>
      <c r="D13" s="4" t="s">
        <v>236</v>
      </c>
    </row>
    <row r="14" spans="1:8">
      <c r="A14" s="5" t="s">
        <v>237</v>
      </c>
      <c r="B14" s="21">
        <v>250</v>
      </c>
      <c r="C14" s="4" t="s">
        <v>238</v>
      </c>
    </row>
    <row r="15" spans="1:8">
      <c r="A15" s="5" t="s">
        <v>239</v>
      </c>
      <c r="B15" s="17">
        <f>IF(B10=0,0,B13/B10)</f>
        <v>208.333333333333</v>
      </c>
    </row>
    <row r="16" spans="1:8">
      <c r="A16" s="18" t="s">
        <v>240</v>
      </c>
      <c r="B16" s="22">
        <f>IF(B14=0,0,B15/B14)</f>
        <v>0.833333333333333</v>
      </c>
      <c r="C16" s="4" t="s">
        <v>241</v>
      </c>
    </row>
    <row r="17" spans="1:8">
      <c r="A17" s="5" t="s">
        <v>242</v>
      </c>
      <c r="B17" s="23" t="str">
        <f>IF(B16&lt;=1,"KHẢ THI về mặt số học","BẤT KHẢ THI — ACV quá thấp để nuôi sales rep")</f>
        <v>KHẢ THI về mặt số học</v>
      </c>
    </row>
    <row r="19" spans="1:8">
      <c r="A19" s="10" t="s">
        <v>243</v>
      </c>
      <c r="B19" s="11"/>
      <c r="C19" s="11"/>
      <c r="D19" s="11"/>
      <c r="E19" s="11"/>
      <c r="F19" s="11"/>
      <c r="G19" s="11"/>
      <c r="H19" s="11"/>
    </row>
    <row r="20" spans="1:8">
      <c r="A20" s="5" t="s">
        <v>244</v>
      </c>
      <c r="B20" s="14">
        <v>8000</v>
      </c>
      <c r="D20" s="4" t="s">
        <v>245</v>
      </c>
    </row>
    <row r="21" ht="15.75" customHeight="1" spans="1:8">
      <c r="A21" s="5" t="s">
        <v>246</v>
      </c>
      <c r="B21" s="24">
        <v>0.25</v>
      </c>
    </row>
    <row r="22" ht="15.75" customHeight="1" spans="1:8">
      <c r="A22" s="5" t="s">
        <v>247</v>
      </c>
      <c r="B22" s="20">
        <f>IF(B21=0,0,B20/B21)</f>
        <v>32000</v>
      </c>
    </row>
    <row r="23" ht="15.75" customHeight="1" spans="1:8">
      <c r="A23" s="18" t="s">
        <v>248</v>
      </c>
      <c r="B23" s="25">
        <f>IF(B9=0,0,B22/B9)</f>
        <v>18.3705473825704</v>
      </c>
      <c r="D23" s="4" t="s">
        <v>249</v>
      </c>
    </row>
    <row r="24" ht="15.75" customHeight="1" spans="1:8">
      <c r="A24" s="5" t="s">
        <v>167</v>
      </c>
      <c r="B24" s="23" t="str">
        <f>IF(B23&lt;=1,"Motion có sales KHẢ THI",IF(B23&lt;=3,"Căng — cần tăng giá hoặc giảm chi phí bán hàng","KHÔNG KHẢ THI — đi PLG hoặc Partner-Led"))</f>
        <v>KHÔNG KHẢ THI — đi PLG hoặc Partner-Led</v>
      </c>
    </row>
    <row r="25" ht="15.75" customHeight="1"/>
    <row r="26" ht="15.75" customHeight="1" spans="1:8">
      <c r="A26" s="10" t="s">
        <v>250</v>
      </c>
      <c r="B26" s="11"/>
      <c r="C26" s="11"/>
      <c r="D26" s="11"/>
      <c r="E26" s="11"/>
      <c r="F26" s="11"/>
      <c r="G26" s="11"/>
      <c r="H26" s="11"/>
    </row>
    <row r="27" ht="15.75" customHeight="1" spans="1:8">
      <c r="A27" s="12" t="s">
        <v>251</v>
      </c>
      <c r="B27" s="12" t="s">
        <v>252</v>
      </c>
      <c r="C27" s="12" t="s">
        <v>253</v>
      </c>
      <c r="D27" s="12" t="s">
        <v>254</v>
      </c>
    </row>
    <row r="28" ht="15.75" customHeight="1" spans="1:8">
      <c r="A28" s="5" t="s">
        <v>255</v>
      </c>
      <c r="B28" s="16">
        <v>3</v>
      </c>
      <c r="C28" s="16">
        <v>1</v>
      </c>
      <c r="D28" s="16">
        <v>5</v>
      </c>
    </row>
    <row r="29" ht="15.75" customHeight="1" spans="1:8">
      <c r="A29" s="5" t="s">
        <v>256</v>
      </c>
      <c r="B29" s="16">
        <v>2</v>
      </c>
      <c r="C29" s="16">
        <v>4</v>
      </c>
      <c r="D29" s="16">
        <v>5</v>
      </c>
    </row>
    <row r="30" ht="15.75" customHeight="1" spans="1:8">
      <c r="A30" s="5" t="s">
        <v>257</v>
      </c>
      <c r="B30" s="16">
        <v>3</v>
      </c>
      <c r="C30" s="16">
        <v>3</v>
      </c>
      <c r="D30" s="16">
        <v>4</v>
      </c>
    </row>
    <row r="31" ht="15.75" customHeight="1" spans="1:8">
      <c r="A31" s="5" t="s">
        <v>258</v>
      </c>
      <c r="B31" s="16">
        <v>3</v>
      </c>
      <c r="C31" s="16">
        <v>3</v>
      </c>
      <c r="D31" s="16">
        <v>4</v>
      </c>
    </row>
    <row r="32" ht="15.75" customHeight="1" spans="1:8">
      <c r="A32" s="5" t="s">
        <v>259</v>
      </c>
      <c r="B32" s="16">
        <v>3</v>
      </c>
      <c r="C32" s="16">
        <v>4</v>
      </c>
      <c r="D32" s="16">
        <v>5</v>
      </c>
    </row>
    <row r="33" ht="15.75" customHeight="1" spans="1:8">
      <c r="A33" s="5" t="s">
        <v>260</v>
      </c>
      <c r="B33" s="16">
        <v>3</v>
      </c>
      <c r="C33" s="16">
        <v>3</v>
      </c>
      <c r="D33" s="16">
        <v>5</v>
      </c>
    </row>
    <row r="34" ht="15.75" customHeight="1" spans="1:8">
      <c r="A34" s="18" t="s">
        <v>261</v>
      </c>
      <c r="B34" s="26">
        <f>SUM(B28:B33)</f>
        <v>17</v>
      </c>
      <c r="C34" s="26">
        <f>SUM(C28:C33)</f>
        <v>18</v>
      </c>
      <c r="D34" s="26">
        <f>SUM(D28:D33)</f>
        <v>28</v>
      </c>
    </row>
    <row r="35" ht="15.75" customHeight="1" spans="1:8">
      <c r="A35" s="18" t="s">
        <v>262</v>
      </c>
      <c r="B35" s="26" t="str">
        <f>IF(AND(B34&gt;=C34,B34&gt;=D34),"PLG",IF(C34&gt;=D34,"Sales-Led","Partner-Led"))</f>
        <v>Partner-Led</v>
      </c>
    </row>
    <row r="36" ht="15.75" customHeight="1"/>
    <row r="37" ht="15.75" customHeight="1" spans="1:8">
      <c r="A37" s="10" t="s">
        <v>263</v>
      </c>
      <c r="B37" s="11"/>
      <c r="C37" s="11"/>
      <c r="D37" s="11"/>
      <c r="E37" s="11"/>
      <c r="F37" s="11"/>
      <c r="G37" s="11"/>
      <c r="H37" s="11"/>
    </row>
    <row r="38" ht="15.75" customHeight="1" spans="1:8">
      <c r="A38" s="5" t="s">
        <v>264</v>
      </c>
      <c r="B38" s="6" t="s">
        <v>254</v>
      </c>
      <c r="D38" s="4" t="s">
        <v>265</v>
      </c>
    </row>
    <row r="39" ht="15.75" customHeight="1" spans="1:8">
      <c r="A39" s="5" t="s">
        <v>266</v>
      </c>
      <c r="B39" s="6" t="s">
        <v>267</v>
      </c>
      <c r="D39" s="4" t="s">
        <v>268</v>
      </c>
    </row>
    <row r="40" ht="15.75" customHeight="1" spans="1:8">
      <c r="A40" s="5" t="s">
        <v>269</v>
      </c>
      <c r="B40" s="6" t="s">
        <v>270</v>
      </c>
    </row>
    <row r="41" ht="15.75" customHeight="1" spans="1:8">
      <c r="A41" s="5" t="s">
        <v>271</v>
      </c>
      <c r="B41" s="6" t="s">
        <v>272</v>
      </c>
    </row>
    <row r="42" ht="15.75" customHeight="1" spans="1:8">
      <c r="A42" s="5" t="s">
        <v>273</v>
      </c>
      <c r="B42" s="6" t="s">
        <v>274</v>
      </c>
      <c r="D42" s="4" t="s">
        <v>275</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qref="B7">
      <formula1>"SMB,Mid,Enterprise"</formula1>
    </dataValidation>
  </dataValidations>
  <pageMargins left="0.75" right="0.75" top="1" bottom="1" header="0" footer="0"/>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opLeftCell="A16" workbookViewId="0">
      <selection activeCell="C30" sqref="C30"/>
    </sheetView>
  </sheetViews>
  <sheetFormatPr defaultColWidth="14.4285714285714" defaultRowHeight="15" customHeight="1" outlineLevelCol="7"/>
  <cols>
    <col min="1" max="1" width="30" style="1" customWidth="1"/>
    <col min="2" max="4" width="34" style="1" customWidth="1"/>
    <col min="5" max="8" width="15" style="1" customWidth="1"/>
    <col min="9" max="26" width="8.71428571428571" style="1" customWidth="1"/>
  </cols>
  <sheetData>
    <row r="1" ht="24" customHeight="1" spans="1:8">
      <c r="A1" s="2" t="s">
        <v>276</v>
      </c>
      <c r="B1" s="3"/>
      <c r="C1" s="3"/>
      <c r="D1" s="3"/>
      <c r="E1" s="3"/>
      <c r="F1" s="3"/>
      <c r="G1" s="3"/>
      <c r="H1" s="3"/>
    </row>
    <row r="2" spans="1:8">
      <c r="A2" s="4" t="s">
        <v>277</v>
      </c>
    </row>
    <row r="4" spans="1:8">
      <c r="A4" s="10" t="s">
        <v>278</v>
      </c>
      <c r="B4" s="11"/>
      <c r="C4" s="11"/>
      <c r="D4" s="11"/>
      <c r="E4" s="11"/>
      <c r="F4" s="11"/>
      <c r="G4" s="11"/>
      <c r="H4" s="11"/>
    </row>
    <row r="5" spans="1:8">
      <c r="A5" s="5" t="s">
        <v>279</v>
      </c>
      <c r="B5" s="6" t="s">
        <v>280</v>
      </c>
    </row>
    <row r="6" spans="1:8">
      <c r="A6" s="5" t="s">
        <v>281</v>
      </c>
      <c r="B6" s="6" t="s">
        <v>282</v>
      </c>
    </row>
    <row r="7" spans="1:8">
      <c r="A7" s="5" t="s">
        <v>283</v>
      </c>
      <c r="B7" s="6" t="s">
        <v>284</v>
      </c>
    </row>
    <row r="8" spans="1:8">
      <c r="A8" s="5" t="s">
        <v>285</v>
      </c>
      <c r="B8" s="6" t="s">
        <v>286</v>
      </c>
      <c r="D8" s="4" t="s">
        <v>287</v>
      </c>
    </row>
    <row r="10" spans="1:8">
      <c r="A10" s="10" t="s">
        <v>288</v>
      </c>
      <c r="B10" s="11"/>
      <c r="C10" s="11"/>
      <c r="D10" s="11"/>
      <c r="E10" s="11"/>
      <c r="F10" s="11"/>
      <c r="G10" s="11"/>
      <c r="H10" s="11"/>
    </row>
    <row r="11" spans="1:8">
      <c r="A11" s="12"/>
      <c r="B11" s="12" t="s">
        <v>289</v>
      </c>
      <c r="C11" s="12" t="s">
        <v>290</v>
      </c>
      <c r="D11" s="12" t="s">
        <v>291</v>
      </c>
    </row>
    <row r="12" ht="30" customHeight="1" spans="1:8">
      <c r="A12" s="5" t="s">
        <v>292</v>
      </c>
      <c r="B12" s="13" t="s">
        <v>293</v>
      </c>
      <c r="C12" s="13" t="s">
        <v>294</v>
      </c>
      <c r="D12" s="13" t="s">
        <v>295</v>
      </c>
    </row>
    <row r="13" ht="30" customHeight="1" spans="1:8">
      <c r="A13" s="5" t="s">
        <v>296</v>
      </c>
      <c r="B13" s="13" t="s">
        <v>297</v>
      </c>
      <c r="C13" s="13" t="s">
        <v>298</v>
      </c>
      <c r="D13" s="13" t="s">
        <v>299</v>
      </c>
    </row>
    <row r="14" ht="30" customHeight="1" spans="1:8">
      <c r="A14" s="5" t="s">
        <v>300</v>
      </c>
      <c r="B14" s="13" t="s">
        <v>301</v>
      </c>
      <c r="C14" s="13" t="s">
        <v>302</v>
      </c>
      <c r="D14" s="13" t="s">
        <v>303</v>
      </c>
    </row>
    <row r="15" ht="30" customHeight="1" spans="1:8">
      <c r="A15" s="5" t="s">
        <v>304</v>
      </c>
      <c r="B15" s="13" t="s">
        <v>305</v>
      </c>
      <c r="C15" s="13" t="s">
        <v>306</v>
      </c>
      <c r="D15" s="13" t="s">
        <v>307</v>
      </c>
    </row>
    <row r="16" ht="30" customHeight="1" spans="1:8">
      <c r="A16" s="5" t="s">
        <v>308</v>
      </c>
      <c r="B16" s="13" t="s">
        <v>309</v>
      </c>
      <c r="C16" s="13" t="s">
        <v>310</v>
      </c>
      <c r="D16" s="13" t="s">
        <v>311</v>
      </c>
    </row>
    <row r="17" ht="30" customHeight="1" spans="1:8">
      <c r="A17" s="5" t="s">
        <v>312</v>
      </c>
      <c r="B17" s="13" t="s">
        <v>313</v>
      </c>
      <c r="C17" s="13" t="s">
        <v>314</v>
      </c>
      <c r="D17" s="13" t="s">
        <v>315</v>
      </c>
    </row>
    <row r="18" ht="30" customHeight="1" spans="1:8">
      <c r="A18" s="5" t="s">
        <v>316</v>
      </c>
      <c r="B18" s="13" t="s">
        <v>317</v>
      </c>
      <c r="C18" s="13" t="s">
        <v>318</v>
      </c>
      <c r="D18" s="13" t="s">
        <v>319</v>
      </c>
    </row>
    <row r="19" spans="1:8">
      <c r="A19" s="4" t="s">
        <v>320</v>
      </c>
    </row>
    <row r="21" ht="15.75" customHeight="1" spans="1:8">
      <c r="A21" s="10" t="s">
        <v>321</v>
      </c>
      <c r="B21" s="11"/>
      <c r="C21" s="11"/>
      <c r="D21" s="11"/>
      <c r="E21" s="11"/>
      <c r="F21" s="11"/>
      <c r="G21" s="11"/>
      <c r="H21" s="11"/>
    </row>
    <row r="22" ht="15.75" customHeight="1" spans="1:8">
      <c r="A22" s="12" t="s">
        <v>322</v>
      </c>
      <c r="B22" s="12" t="s">
        <v>323</v>
      </c>
      <c r="C22" s="12" t="s">
        <v>324</v>
      </c>
      <c r="D22" s="12" t="s">
        <v>325</v>
      </c>
    </row>
    <row r="23" ht="33.75" customHeight="1" spans="1:8">
      <c r="A23" s="5" t="s">
        <v>326</v>
      </c>
      <c r="B23" s="13" t="s">
        <v>327</v>
      </c>
      <c r="C23" s="13" t="s">
        <v>328</v>
      </c>
      <c r="D23" s="13" t="s">
        <v>329</v>
      </c>
    </row>
    <row r="24" ht="33.75" customHeight="1" spans="1:8">
      <c r="A24" s="5" t="s">
        <v>330</v>
      </c>
      <c r="B24" s="13" t="s">
        <v>327</v>
      </c>
      <c r="C24" s="13" t="s">
        <v>331</v>
      </c>
      <c r="D24" s="13" t="s">
        <v>332</v>
      </c>
    </row>
    <row r="25" ht="33.75" customHeight="1" spans="1:8">
      <c r="A25" s="5" t="s">
        <v>333</v>
      </c>
      <c r="B25" s="13" t="s">
        <v>270</v>
      </c>
      <c r="C25" s="13" t="s">
        <v>334</v>
      </c>
      <c r="D25" s="13" t="s">
        <v>335</v>
      </c>
    </row>
    <row r="26" ht="15.75" customHeight="1" spans="1:8">
      <c r="A26" s="4" t="s">
        <v>336</v>
      </c>
    </row>
    <row r="27" ht="15.75" customHeight="1"/>
    <row r="28" ht="15.75" customHeight="1" spans="1:8">
      <c r="A28" s="10" t="s">
        <v>337</v>
      </c>
      <c r="B28" s="11"/>
      <c r="C28" s="11"/>
      <c r="D28" s="11"/>
      <c r="E28" s="11"/>
      <c r="F28" s="11"/>
      <c r="G28" s="11"/>
      <c r="H28" s="11"/>
    </row>
    <row r="29" ht="15.75" customHeight="1" spans="1:8">
      <c r="A29" s="5" t="s">
        <v>338</v>
      </c>
      <c r="B29" s="6" t="s">
        <v>339</v>
      </c>
    </row>
    <row r="30" ht="15.75" customHeight="1" spans="1:8">
      <c r="A30" s="5" t="s">
        <v>340</v>
      </c>
      <c r="B30" s="6" t="s">
        <v>339</v>
      </c>
    </row>
    <row r="31" ht="15.75" customHeight="1" spans="1:8">
      <c r="A31" s="5" t="s">
        <v>341</v>
      </c>
      <c r="B31" s="6" t="s">
        <v>339</v>
      </c>
    </row>
    <row r="32" ht="15.75" customHeight="1" spans="1:8">
      <c r="A32" s="5" t="s">
        <v>342</v>
      </c>
      <c r="B32" s="6">
        <v>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abSelected="1" topLeftCell="A32" workbookViewId="0">
      <selection activeCell="B45" sqref="B45"/>
    </sheetView>
  </sheetViews>
  <sheetFormatPr defaultColWidth="14.4285714285714" defaultRowHeight="15" customHeight="1" outlineLevelCol="7"/>
  <cols>
    <col min="1" max="1" width="26" style="1" customWidth="1"/>
    <col min="2" max="2" width="44.8571428571429" style="1" customWidth="1"/>
    <col min="3" max="3" width="40" style="1" customWidth="1"/>
    <col min="4" max="4" width="16" style="1" customWidth="1"/>
    <col min="5" max="5" width="56" style="1" customWidth="1"/>
    <col min="6" max="8" width="15" style="1" customWidth="1"/>
    <col min="9" max="26" width="8.71428571428571" style="1" customWidth="1"/>
  </cols>
  <sheetData>
    <row r="1" ht="24" customHeight="1" spans="1:8">
      <c r="A1" s="2" t="s">
        <v>343</v>
      </c>
      <c r="B1" s="3"/>
      <c r="C1" s="3"/>
      <c r="D1" s="3"/>
      <c r="E1" s="3"/>
      <c r="F1" s="3"/>
      <c r="G1" s="3"/>
      <c r="H1" s="3"/>
    </row>
    <row r="2" spans="1:8">
      <c r="A2" s="4" t="s">
        <v>344</v>
      </c>
    </row>
    <row r="3" spans="1:8">
      <c r="A3" s="5" t="s">
        <v>345</v>
      </c>
      <c r="B3" s="6" t="s">
        <v>346</v>
      </c>
      <c r="D3" s="4" t="s">
        <v>347</v>
      </c>
    </row>
    <row r="5" spans="1:8">
      <c r="A5" s="7" t="s">
        <v>348</v>
      </c>
      <c r="B5" s="7" t="s">
        <v>349</v>
      </c>
      <c r="C5" s="7" t="s">
        <v>350</v>
      </c>
      <c r="D5" s="7" t="s">
        <v>351</v>
      </c>
      <c r="E5" s="7" t="s">
        <v>352</v>
      </c>
    </row>
    <row r="6" spans="1:8">
      <c r="A6" s="8" t="s">
        <v>124</v>
      </c>
      <c r="B6" s="8" t="s">
        <v>353</v>
      </c>
      <c r="C6" s="8" t="s">
        <v>354</v>
      </c>
      <c r="D6" s="8" t="s">
        <v>355</v>
      </c>
      <c r="E6" s="9" t="s">
        <v>356</v>
      </c>
    </row>
    <row r="7" spans="1:8">
      <c r="A7" s="8" t="s">
        <v>124</v>
      </c>
      <c r="B7" s="8" t="s">
        <v>357</v>
      </c>
      <c r="C7" s="8" t="s">
        <v>358</v>
      </c>
      <c r="D7" s="8" t="s">
        <v>355</v>
      </c>
      <c r="E7" s="9" t="s">
        <v>356</v>
      </c>
    </row>
    <row r="8" spans="1:8">
      <c r="A8" s="8" t="s">
        <v>124</v>
      </c>
      <c r="B8" s="8" t="s">
        <v>359</v>
      </c>
      <c r="C8" s="8" t="s">
        <v>360</v>
      </c>
      <c r="D8" s="8" t="s">
        <v>355</v>
      </c>
      <c r="E8" s="9" t="s">
        <v>356</v>
      </c>
    </row>
    <row r="9" spans="1:8">
      <c r="A9" s="8" t="s">
        <v>124</v>
      </c>
      <c r="B9" s="8" t="s">
        <v>361</v>
      </c>
      <c r="C9" s="8" t="s">
        <v>362</v>
      </c>
      <c r="D9" s="8" t="s">
        <v>363</v>
      </c>
      <c r="E9" s="9" t="s">
        <v>356</v>
      </c>
    </row>
    <row r="10" ht="24" spans="1:8">
      <c r="A10" s="8" t="s">
        <v>124</v>
      </c>
      <c r="B10" s="8" t="s">
        <v>364</v>
      </c>
      <c r="C10" s="8" t="s">
        <v>365</v>
      </c>
      <c r="D10" s="8" t="s">
        <v>355</v>
      </c>
      <c r="E10" s="9" t="s">
        <v>366</v>
      </c>
    </row>
    <row r="11" spans="1:8">
      <c r="A11" s="8" t="s">
        <v>124</v>
      </c>
      <c r="B11" s="8" t="s">
        <v>367</v>
      </c>
      <c r="C11" s="8" t="s">
        <v>368</v>
      </c>
      <c r="D11" s="8" t="s">
        <v>355</v>
      </c>
      <c r="E11" s="9" t="s">
        <v>369</v>
      </c>
    </row>
    <row r="12" spans="1:8">
      <c r="A12" s="8" t="s">
        <v>124</v>
      </c>
      <c r="B12" s="8" t="s">
        <v>370</v>
      </c>
      <c r="C12" s="8" t="s">
        <v>371</v>
      </c>
      <c r="D12" s="8" t="s">
        <v>363</v>
      </c>
      <c r="E12" s="9" t="s">
        <v>369</v>
      </c>
    </row>
    <row r="13" spans="1:8">
      <c r="A13" s="8" t="s">
        <v>124</v>
      </c>
      <c r="B13" s="8" t="s">
        <v>372</v>
      </c>
      <c r="C13" s="8" t="s">
        <v>373</v>
      </c>
      <c r="D13" s="8" t="s">
        <v>355</v>
      </c>
      <c r="E13" s="9" t="s">
        <v>374</v>
      </c>
    </row>
    <row r="14" ht="24" spans="1:8">
      <c r="A14" s="8" t="s">
        <v>124</v>
      </c>
      <c r="B14" s="8" t="s">
        <v>375</v>
      </c>
      <c r="C14" s="8" t="s">
        <v>376</v>
      </c>
      <c r="D14" s="8" t="s">
        <v>355</v>
      </c>
      <c r="E14" s="9" t="s">
        <v>377</v>
      </c>
    </row>
    <row r="15" spans="1:8">
      <c r="A15" s="8" t="s">
        <v>378</v>
      </c>
      <c r="B15" s="8" t="s">
        <v>379</v>
      </c>
      <c r="C15" s="8" t="s">
        <v>380</v>
      </c>
      <c r="D15" s="8" t="s">
        <v>381</v>
      </c>
      <c r="E15" s="9" t="s">
        <v>382</v>
      </c>
    </row>
    <row r="16" spans="1:8">
      <c r="A16" s="8" t="s">
        <v>378</v>
      </c>
      <c r="B16" s="8" t="s">
        <v>383</v>
      </c>
      <c r="C16" s="8" t="s">
        <v>384</v>
      </c>
      <c r="D16" s="8" t="s">
        <v>381</v>
      </c>
      <c r="E16" s="9" t="s">
        <v>385</v>
      </c>
    </row>
    <row r="17" spans="1:5">
      <c r="A17" s="8" t="s">
        <v>378</v>
      </c>
      <c r="B17" s="8" t="s">
        <v>386</v>
      </c>
      <c r="C17" s="8" t="s">
        <v>387</v>
      </c>
      <c r="D17" s="8" t="s">
        <v>381</v>
      </c>
      <c r="E17" s="9" t="s">
        <v>388</v>
      </c>
    </row>
    <row r="18" spans="1:5">
      <c r="A18" s="8" t="s">
        <v>378</v>
      </c>
      <c r="B18" s="8" t="s">
        <v>389</v>
      </c>
      <c r="C18" s="8" t="s">
        <v>390</v>
      </c>
      <c r="D18" s="8" t="s">
        <v>381</v>
      </c>
      <c r="E18" s="9" t="s">
        <v>369</v>
      </c>
    </row>
    <row r="19" spans="1:5">
      <c r="A19" s="8" t="s">
        <v>391</v>
      </c>
      <c r="B19" s="8" t="s">
        <v>392</v>
      </c>
      <c r="C19" s="8" t="s">
        <v>393</v>
      </c>
      <c r="D19" s="8" t="s">
        <v>394</v>
      </c>
      <c r="E19" s="9" t="s">
        <v>395</v>
      </c>
    </row>
    <row r="20" spans="1:5">
      <c r="A20" s="8" t="s">
        <v>391</v>
      </c>
      <c r="B20" s="8" t="s">
        <v>396</v>
      </c>
      <c r="C20" s="8" t="s">
        <v>397</v>
      </c>
      <c r="D20" s="8" t="s">
        <v>394</v>
      </c>
      <c r="E20" s="9" t="s">
        <v>369</v>
      </c>
    </row>
    <row r="21" ht="15.75" customHeight="1" spans="1:5">
      <c r="A21" s="8" t="s">
        <v>391</v>
      </c>
      <c r="B21" s="8" t="s">
        <v>398</v>
      </c>
      <c r="C21" s="8" t="s">
        <v>399</v>
      </c>
      <c r="D21" s="8" t="s">
        <v>394</v>
      </c>
      <c r="E21" s="9" t="s">
        <v>400</v>
      </c>
    </row>
    <row r="22" ht="15.75" customHeight="1" spans="1:5">
      <c r="A22" s="8" t="s">
        <v>391</v>
      </c>
      <c r="B22" s="8" t="s">
        <v>401</v>
      </c>
      <c r="C22" s="8" t="s">
        <v>402</v>
      </c>
      <c r="D22" s="8" t="s">
        <v>394</v>
      </c>
      <c r="E22" s="9" t="s">
        <v>400</v>
      </c>
    </row>
    <row r="23" ht="15.75" customHeight="1" spans="1:5">
      <c r="A23" s="8" t="s">
        <v>403</v>
      </c>
      <c r="B23" s="8" t="s">
        <v>404</v>
      </c>
      <c r="C23" s="8" t="s">
        <v>405</v>
      </c>
      <c r="D23" s="8" t="s">
        <v>406</v>
      </c>
      <c r="E23" s="9" t="s">
        <v>407</v>
      </c>
    </row>
    <row r="24" ht="15.75" customHeight="1" spans="1:5">
      <c r="A24" s="8" t="s">
        <v>408</v>
      </c>
      <c r="B24" s="8" t="s">
        <v>409</v>
      </c>
      <c r="C24" s="8" t="s">
        <v>410</v>
      </c>
      <c r="D24" s="8" t="s">
        <v>411</v>
      </c>
      <c r="E24" s="9" t="s">
        <v>412</v>
      </c>
    </row>
    <row r="25" ht="15.75" customHeight="1" spans="1:5">
      <c r="A25" s="8" t="s">
        <v>408</v>
      </c>
      <c r="B25" s="8" t="s">
        <v>413</v>
      </c>
      <c r="C25" s="8" t="s">
        <v>414</v>
      </c>
      <c r="D25" s="8" t="s">
        <v>411</v>
      </c>
      <c r="E25" s="9" t="s">
        <v>415</v>
      </c>
    </row>
    <row r="26" ht="15.75" customHeight="1" spans="1:5">
      <c r="A26" s="8" t="s">
        <v>408</v>
      </c>
      <c r="B26" s="8" t="s">
        <v>416</v>
      </c>
      <c r="C26" s="8" t="s">
        <v>417</v>
      </c>
      <c r="D26" s="8" t="s">
        <v>363</v>
      </c>
      <c r="E26" s="9" t="s">
        <v>418</v>
      </c>
    </row>
    <row r="27" ht="15.75" customHeight="1" spans="1:5">
      <c r="A27" s="8" t="s">
        <v>419</v>
      </c>
      <c r="B27" s="8" t="s">
        <v>420</v>
      </c>
      <c r="C27" s="8" t="s">
        <v>421</v>
      </c>
      <c r="D27" s="8" t="s">
        <v>422</v>
      </c>
      <c r="E27" s="9" t="s">
        <v>423</v>
      </c>
    </row>
    <row r="28" ht="15.75" customHeight="1" spans="1:5">
      <c r="A28" s="8" t="s">
        <v>419</v>
      </c>
      <c r="B28" s="8" t="s">
        <v>424</v>
      </c>
      <c r="C28" s="8" t="s">
        <v>425</v>
      </c>
      <c r="D28" s="8" t="s">
        <v>422</v>
      </c>
      <c r="E28" s="9" t="s">
        <v>423</v>
      </c>
    </row>
    <row r="29" ht="15.75" customHeight="1" spans="1:5">
      <c r="A29" s="8" t="s">
        <v>419</v>
      </c>
      <c r="B29" s="8" t="s">
        <v>426</v>
      </c>
      <c r="C29" s="8" t="s">
        <v>427</v>
      </c>
      <c r="D29" s="8" t="s">
        <v>428</v>
      </c>
      <c r="E29" s="9" t="s">
        <v>429</v>
      </c>
    </row>
    <row r="30" ht="15.75" customHeight="1" spans="1:5">
      <c r="A30" s="8" t="s">
        <v>419</v>
      </c>
      <c r="B30" s="8" t="s">
        <v>430</v>
      </c>
      <c r="C30" s="8" t="s">
        <v>431</v>
      </c>
      <c r="D30" s="8" t="s">
        <v>432</v>
      </c>
      <c r="E30" s="9" t="s">
        <v>433</v>
      </c>
    </row>
    <row r="31" ht="15.75" customHeight="1" spans="1:5">
      <c r="A31" s="8" t="s">
        <v>419</v>
      </c>
      <c r="B31" s="8" t="s">
        <v>434</v>
      </c>
      <c r="C31" s="8" t="s">
        <v>435</v>
      </c>
      <c r="D31" s="8" t="s">
        <v>436</v>
      </c>
      <c r="E31" s="9" t="s">
        <v>433</v>
      </c>
    </row>
    <row r="32" ht="15.75" customHeight="1" spans="1:5">
      <c r="A32" s="8" t="s">
        <v>419</v>
      </c>
      <c r="B32" s="8" t="s">
        <v>437</v>
      </c>
      <c r="C32" s="8" t="s">
        <v>438</v>
      </c>
      <c r="D32" s="8" t="s">
        <v>432</v>
      </c>
      <c r="E32" s="9" t="s">
        <v>439</v>
      </c>
    </row>
    <row r="33" ht="15.75" customHeight="1" spans="1:5">
      <c r="A33" s="8" t="s">
        <v>419</v>
      </c>
      <c r="B33" s="8" t="s">
        <v>440</v>
      </c>
      <c r="C33" s="8" t="s">
        <v>441</v>
      </c>
      <c r="D33" s="8" t="s">
        <v>442</v>
      </c>
      <c r="E33" s="9" t="s">
        <v>439</v>
      </c>
    </row>
    <row r="34" ht="15.75" customHeight="1" spans="1:5">
      <c r="A34" s="8" t="s">
        <v>419</v>
      </c>
      <c r="B34" s="8" t="s">
        <v>443</v>
      </c>
      <c r="C34" s="8" t="s">
        <v>444</v>
      </c>
      <c r="D34" s="8" t="s">
        <v>445</v>
      </c>
      <c r="E34" s="9" t="s">
        <v>446</v>
      </c>
    </row>
    <row r="35" ht="15.75" customHeight="1" spans="1:5">
      <c r="A35" s="8" t="s">
        <v>447</v>
      </c>
      <c r="B35" s="8" t="s">
        <v>448</v>
      </c>
      <c r="C35" s="8" t="s">
        <v>449</v>
      </c>
      <c r="D35" s="8" t="s">
        <v>450</v>
      </c>
      <c r="E35" s="9" t="s">
        <v>451</v>
      </c>
    </row>
    <row r="36" ht="15.75" customHeight="1" spans="1:5">
      <c r="A36" s="8" t="s">
        <v>447</v>
      </c>
      <c r="B36" s="8" t="s">
        <v>452</v>
      </c>
      <c r="C36" s="8" t="s">
        <v>453</v>
      </c>
      <c r="D36" s="8" t="s">
        <v>450</v>
      </c>
      <c r="E36" s="9" t="s">
        <v>454</v>
      </c>
    </row>
    <row r="37" ht="15.75" customHeight="1" spans="1:5">
      <c r="A37" s="8" t="s">
        <v>447</v>
      </c>
      <c r="B37" s="8" t="s">
        <v>455</v>
      </c>
      <c r="C37" s="8" t="s">
        <v>456</v>
      </c>
      <c r="D37" s="8" t="s">
        <v>450</v>
      </c>
      <c r="E37" s="9" t="s">
        <v>457</v>
      </c>
    </row>
    <row r="38" ht="15.75" customHeight="1" spans="1:5">
      <c r="A38" s="8" t="s">
        <v>447</v>
      </c>
      <c r="B38" s="8" t="s">
        <v>458</v>
      </c>
      <c r="C38" s="8" t="s">
        <v>459</v>
      </c>
      <c r="D38" s="8" t="s">
        <v>229</v>
      </c>
      <c r="E38" s="9" t="s">
        <v>454</v>
      </c>
    </row>
    <row r="39" ht="15.75" customHeight="1" spans="1:5">
      <c r="A39" s="8" t="s">
        <v>447</v>
      </c>
      <c r="B39" s="8" t="s">
        <v>460</v>
      </c>
      <c r="C39" s="8" t="s">
        <v>461</v>
      </c>
      <c r="D39" s="8" t="s">
        <v>462</v>
      </c>
      <c r="E39" s="9" t="s">
        <v>463</v>
      </c>
    </row>
    <row r="40" ht="15.75" customHeight="1" spans="1:5">
      <c r="A40" s="8" t="s">
        <v>447</v>
      </c>
      <c r="B40" s="8" t="s">
        <v>464</v>
      </c>
      <c r="C40" s="8" t="s">
        <v>465</v>
      </c>
      <c r="D40" s="8" t="s">
        <v>466</v>
      </c>
      <c r="E40" s="9" t="s">
        <v>467</v>
      </c>
    </row>
    <row r="41" ht="15.75" customHeight="1" spans="1:5">
      <c r="A41" s="8" t="s">
        <v>447</v>
      </c>
      <c r="B41" s="8" t="s">
        <v>468</v>
      </c>
      <c r="C41" s="8" t="s">
        <v>469</v>
      </c>
      <c r="D41" s="8" t="s">
        <v>470</v>
      </c>
      <c r="E41" s="9" t="s">
        <v>471</v>
      </c>
    </row>
    <row r="42" ht="15.75" customHeight="1"/>
    <row r="43" ht="15.75" customHeight="1" spans="1:5">
      <c r="A43" s="4"/>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0_README</vt:lpstr>
      <vt:lpstr>1_Cost_Job</vt:lpstr>
      <vt:lpstr>2_Pricing</vt:lpstr>
      <vt:lpstr>3_Value_Metric</vt:lpstr>
      <vt:lpstr>4_Channel_Fit</vt:lpstr>
      <vt:lpstr>5_90Day_Plan</vt:lpstr>
      <vt:lpstr>6_Benchmarks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2026-08-26T15:07:00Z</dcterms:created>
  <dcterms:modified xsi:type="dcterms:W3CDTF">2026-10-08T10:48:06Z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091723D15EA04984B20DDAEDE78A85DF_12</vt:lpwstr>
  </property>
  <property fmtid="{D5CDD505-2E9C-101B-9397-08002B2CF9AE}" pid="3" name="KSOProductBuildVer">
    <vt:lpwstr>1033-12.1.0.28485</vt:lpwstr>
  </property>
  <property fmtid="{D5CDD505-2E9C-101B-9397-08002B2CF9AE}" pid="4" name="CalculationRule">
    <vt:i4>0</vt:i4>
  </property>
</Properties>
</file>